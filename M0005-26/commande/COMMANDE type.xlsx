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ouari.abdelkabir\Desktop\Marché\commande1\"/>
    </mc:Choice>
  </mc:AlternateContent>
  <xr:revisionPtr revIDLastSave="0" documentId="13_ncr:1_{2BE62A36-ECE5-4BBC-A52F-70C026C8B215}" xr6:coauthVersionLast="47" xr6:coauthVersionMax="47" xr10:uidLastSave="{00000000-0000-0000-0000-000000000000}"/>
  <bookViews>
    <workbookView xWindow="-120" yWindow="-120" windowWidth="29040" windowHeight="17520" xr2:uid="{7724F724-432E-4AA1-A2C4-F35DD33BF197}"/>
  </bookViews>
  <sheets>
    <sheet name="Com type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'Com type'!$A$8:$G$177</definedName>
    <definedName name="AS">[1]Liste!$E$10:$E$13</definedName>
    <definedName name="AXE">[1]Liste!$AC$10:$AC$23</definedName>
    <definedName name="BIF">[1]Liste!$G$10</definedName>
    <definedName name="BLE">[1]Liste!$X$10:$X$11</definedName>
    <definedName name="CAT">[1]Liste!$V$10:$V$14</definedName>
    <definedName name="CAU">[1]Liste!$AB$10:$AB$35</definedName>
    <definedName name="CC">[1]Liste!$AE$10:$AE$20</definedName>
    <definedName name="CEI">[1]Liste!$AA$10:$AA$11</definedName>
    <definedName name="CIR">[1]Liste!$T$10:$T$11</definedName>
    <definedName name="CON">[1]Liste!$N$10:$N$14</definedName>
    <definedName name="COND">[1]Liste!$P$10:$P$13</definedName>
    <definedName name="ECH">[1]Liste!$F$10:$F$14</definedName>
    <definedName name="ETA">[1]Liste!$M$10:$M$15</definedName>
    <definedName name="FRA">[1]Liste!$S$10:$S$11</definedName>
    <definedName name="GLIS">[1]Liste!$R$10:$R$12</definedName>
    <definedName name="GRA">[1]Liste!$Z$10:$Z$12</definedName>
    <definedName name="h">[2]Liste!$AC$10:$AC$23</definedName>
    <definedName name="_xlnm.Print_Titles" localSheetId="0">'Com type'!$1:$8</definedName>
    <definedName name="MOT">[1]Liste!$Q$10:$Q$12</definedName>
    <definedName name="NOR">[1]Liste!$K$10</definedName>
    <definedName name="PER">[1]Liste!$L$10:$L$16</definedName>
    <definedName name="PL">[1]Liste!$I$10:$I$11</definedName>
    <definedName name="PLO">[1]Liste!$J$10:$J$12</definedName>
    <definedName name="PNE">[1]Liste!$W$10:$W$11</definedName>
    <definedName name="se">[1]Liste!$Y$10:$Y$11</definedName>
    <definedName name="SED">[3]Liste!$AD$10:$AD$11</definedName>
    <definedName name="SENS">[1]Liste!$AD$10:$AD$11</definedName>
    <definedName name="SI">[1]Liste!$U$10:$U$15</definedName>
    <definedName name="TUN">[1]Liste!$H$10:$H$12</definedName>
    <definedName name="VC">[3]Liste!$G$10</definedName>
    <definedName name="VIS">[1]Liste!$O$10:$O$12</definedName>
    <definedName name="_xlnm.Print_Area" localSheetId="0">'Com type'!$A$1:$E$177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3" i="1" l="1"/>
  <c r="D92" i="1"/>
  <c r="D90" i="1"/>
  <c r="D89" i="1"/>
  <c r="D86" i="1"/>
  <c r="D85" i="1"/>
  <c r="D84" i="1"/>
  <c r="D83" i="1"/>
  <c r="D79" i="1"/>
  <c r="D74" i="1"/>
  <c r="D72" i="1"/>
  <c r="D71" i="1"/>
  <c r="D70" i="1"/>
  <c r="D69" i="1"/>
  <c r="D68" i="1"/>
  <c r="D67" i="1"/>
  <c r="D65" i="1"/>
  <c r="D64" i="1"/>
  <c r="D61" i="1"/>
  <c r="D60" i="1"/>
  <c r="D59" i="1"/>
  <c r="D58" i="1"/>
  <c r="D57" i="1"/>
  <c r="D56" i="1"/>
  <c r="D52" i="1"/>
  <c r="D51" i="1"/>
  <c r="D50" i="1"/>
  <c r="D49" i="1"/>
  <c r="D48" i="1"/>
  <c r="D47" i="1"/>
  <c r="D45" i="1"/>
  <c r="D43" i="1"/>
  <c r="D42" i="1"/>
  <c r="D41" i="1"/>
  <c r="D40" i="1"/>
  <c r="D38" i="1"/>
  <c r="D37" i="1"/>
  <c r="D36" i="1"/>
  <c r="D35" i="1"/>
  <c r="D34" i="1"/>
  <c r="D31" i="1"/>
  <c r="D30" i="1"/>
  <c r="D29" i="1"/>
  <c r="D28" i="1"/>
  <c r="D27" i="1"/>
  <c r="D26" i="1"/>
  <c r="D25" i="1"/>
  <c r="D24" i="1"/>
  <c r="D23" i="1"/>
  <c r="D22" i="1"/>
</calcChain>
</file>

<file path=xl/sharedStrings.xml><?xml version="1.0" encoding="utf-8"?>
<sst xmlns="http://schemas.openxmlformats.org/spreadsheetml/2006/main" count="774" uniqueCount="215">
  <si>
    <t>MAITRE D'OUVRAGE : La SNAM représentée par le Chef de la Division Prestations Techniques</t>
  </si>
  <si>
    <t>MARCHE N°: M0004/24</t>
  </si>
  <si>
    <t>MAITRE D'ŒUVRE : Le Chef de la Division Sécurité de la Direction Régionale Centre-Sud</t>
  </si>
  <si>
    <t>Objet: La réalisation des travaux de l'Entretien multitechnique des Axes Autoroutiers Centre et Sud.</t>
  </si>
  <si>
    <r>
      <t xml:space="preserve">SECTION : </t>
    </r>
    <r>
      <rPr>
        <b/>
        <sz val="12"/>
        <color rgb="FFFF0000"/>
        <rFont val="Calibri"/>
        <family val="2"/>
        <scheme val="minor"/>
      </rPr>
      <t>PK106 oued Oum rbii - Chichaoua</t>
    </r>
  </si>
  <si>
    <t>PRESTATAIRE : AIC</t>
  </si>
  <si>
    <t>Localisation de l'intervention</t>
  </si>
  <si>
    <t>Désignation des travaux à réaliser</t>
  </si>
  <si>
    <t>Observations</t>
  </si>
  <si>
    <t>PK</t>
  </si>
  <si>
    <t>Sens</t>
  </si>
  <si>
    <t>Côté</t>
  </si>
  <si>
    <t>glissière</t>
  </si>
  <si>
    <t>Tronçon2 OUM-RBII - Palmeraie (Du PK106-Au PK198+ A301)</t>
  </si>
  <si>
    <t>Tronçon3 Bifurcation Chichaoua(Du PK198-Au PK282)</t>
  </si>
  <si>
    <t>Tronçon4 Chichaoua Agadir(Du PK282-Au PK424)</t>
  </si>
  <si>
    <t>BAU</t>
  </si>
  <si>
    <t>TPC</t>
  </si>
  <si>
    <t>ITPC</t>
  </si>
  <si>
    <t>Qté</t>
  </si>
  <si>
    <t>type</t>
  </si>
  <si>
    <t>Tronçon1 Nœud Berrchid - OUM-RBII (Du PK32-Au PK106)</t>
  </si>
  <si>
    <t>MC</t>
  </si>
  <si>
    <t>AM</t>
  </si>
  <si>
    <t>MA</t>
  </si>
  <si>
    <t>BCD</t>
  </si>
  <si>
    <t xml:space="preserve">CM </t>
  </si>
  <si>
    <t>AC</t>
  </si>
  <si>
    <t xml:space="preserve">BAU </t>
  </si>
  <si>
    <t>CA</t>
  </si>
  <si>
    <t xml:space="preserve">Fourniture et pose de Béton pour massif </t>
  </si>
  <si>
    <t>Réparation de 04ML de lisse glissière</t>
  </si>
  <si>
    <t>BHO</t>
  </si>
  <si>
    <t>410+670</t>
  </si>
  <si>
    <t>324+925</t>
  </si>
  <si>
    <t>396+450</t>
  </si>
  <si>
    <t>342+380</t>
  </si>
  <si>
    <t>415+500</t>
  </si>
  <si>
    <t>332+500</t>
  </si>
  <si>
    <t>416+280</t>
  </si>
  <si>
    <t>351+100</t>
  </si>
  <si>
    <t>351+004</t>
  </si>
  <si>
    <t>392+650</t>
  </si>
  <si>
    <t>Entretien</t>
  </si>
  <si>
    <t>396+400</t>
  </si>
  <si>
    <t>409+380</t>
  </si>
  <si>
    <t>418+400</t>
  </si>
  <si>
    <t>372+650</t>
  </si>
  <si>
    <t>377+900</t>
  </si>
  <si>
    <t>393+900</t>
  </si>
  <si>
    <t>312+270</t>
  </si>
  <si>
    <t>388+500</t>
  </si>
  <si>
    <t>390+100</t>
  </si>
  <si>
    <t xml:space="preserve">MA </t>
  </si>
  <si>
    <t>399+900</t>
  </si>
  <si>
    <t>423+930</t>
  </si>
  <si>
    <t>387+500</t>
  </si>
  <si>
    <t>372+580</t>
  </si>
  <si>
    <t>395+500</t>
  </si>
  <si>
    <t>396+000</t>
  </si>
  <si>
    <t>402+000</t>
  </si>
  <si>
    <t>405+000</t>
  </si>
  <si>
    <t>389+500</t>
  </si>
  <si>
    <t>397+200</t>
  </si>
  <si>
    <t>Sortie</t>
  </si>
  <si>
    <t>Ag/Ar</t>
  </si>
  <si>
    <t>-</t>
  </si>
  <si>
    <t>support</t>
  </si>
  <si>
    <t>Fourniture et pose de 40 ML de glissière y compris écarteurs, supports et réflecteurs</t>
  </si>
  <si>
    <t xml:space="preserve">ITPC </t>
  </si>
  <si>
    <t>Fourniture et pose de 60 ML de glissière y compris écarteurs, supports et réflecteurs</t>
  </si>
  <si>
    <t>Fourniture et pose de 36 ML de glissière y compris écarteurs, supports et réflecteurs</t>
  </si>
  <si>
    <t>ADMINISTRATION</t>
  </si>
  <si>
    <t>Fourniture de 200 cones</t>
  </si>
  <si>
    <t xml:space="preserve">PKs: 33-37-55-62-89 </t>
  </si>
  <si>
    <t>FOURN. POSE DE 10 MUSOIRS
A CHEVRONS</t>
  </si>
  <si>
    <r>
      <t xml:space="preserve">Fourniture et pose de </t>
    </r>
    <r>
      <rPr>
        <sz val="12"/>
        <color rgb="FFFF0000"/>
        <rFont val="Calibri"/>
        <family val="2"/>
        <scheme val="minor"/>
      </rPr>
      <t>01 indicateur de vent</t>
    </r>
  </si>
  <si>
    <t>Indicateur de vent</t>
  </si>
  <si>
    <t>Réparation de 08 ML de lisse glissière</t>
  </si>
  <si>
    <t>ADS</t>
  </si>
  <si>
    <r>
      <t xml:space="preserve">Fourniture et pose de  </t>
    </r>
    <r>
      <rPr>
        <sz val="12"/>
        <color rgb="FFFF0000"/>
        <rFont val="Calibri"/>
        <family val="2"/>
        <scheme val="minor"/>
      </rPr>
      <t>panneaux type 321,1</t>
    </r>
  </si>
  <si>
    <t>panneau type standard</t>
  </si>
  <si>
    <t xml:space="preserve">Renouvlement du panneau sur accotement </t>
  </si>
  <si>
    <r>
      <t xml:space="preserve">Fourniture et pose de  </t>
    </r>
    <r>
      <rPr>
        <sz val="12"/>
        <color rgb="FFFF0000"/>
        <rFont val="Calibri"/>
        <family val="2"/>
        <scheme val="minor"/>
      </rPr>
      <t>panneaux type 101,1</t>
    </r>
  </si>
  <si>
    <t>Entrer Echangeur</t>
  </si>
  <si>
    <r>
      <t xml:space="preserve">Fourniture et pose de  </t>
    </r>
    <r>
      <rPr>
        <sz val="12"/>
        <color rgb="FFFF0000"/>
        <rFont val="Calibri"/>
        <family val="2"/>
        <scheme val="minor"/>
      </rPr>
      <t>panneaux type 323</t>
    </r>
  </si>
  <si>
    <t>LV 40</t>
  </si>
  <si>
    <r>
      <t xml:space="preserve">Fourniture et pose de  </t>
    </r>
    <r>
      <rPr>
        <sz val="12"/>
        <color rgb="FFFF0000"/>
        <rFont val="Calibri"/>
        <family val="2"/>
        <scheme val="minor"/>
      </rPr>
      <t>panneaux type 201,2</t>
    </r>
  </si>
  <si>
    <t>MC-CM</t>
  </si>
  <si>
    <t>deux emplacement 04+08ml</t>
  </si>
  <si>
    <t xml:space="preserve"> pour régler la fuite trafic  des motocycles</t>
  </si>
  <si>
    <r>
      <t xml:space="preserve">Fourniture et pose de </t>
    </r>
    <r>
      <rPr>
        <sz val="12"/>
        <color rgb="FFFF0000"/>
        <rFont val="Times New Roman"/>
        <family val="1"/>
      </rPr>
      <t>plaque kilométrique</t>
    </r>
  </si>
  <si>
    <t>deux emplacement 12+08ml</t>
  </si>
  <si>
    <r>
      <t xml:space="preserve"> Fourniture et pose de </t>
    </r>
    <r>
      <rPr>
        <sz val="12"/>
        <color rgb="FFFF0000"/>
        <rFont val="Times New Roman"/>
        <family val="1"/>
      </rPr>
      <t>panneaux type 328,2</t>
    </r>
  </si>
  <si>
    <t>Parking PL Petrom</t>
  </si>
  <si>
    <r>
      <t>Fourniture et pose de 01</t>
    </r>
    <r>
      <rPr>
        <sz val="12"/>
        <color rgb="FFFF0000"/>
        <rFont val="Calibri"/>
        <family val="2"/>
        <scheme val="minor"/>
      </rPr>
      <t xml:space="preserve"> balise B12 a 2 chevrons</t>
    </r>
  </si>
  <si>
    <t>Ech</t>
  </si>
  <si>
    <r>
      <t xml:space="preserve"> Fourniture et pose de </t>
    </r>
    <r>
      <rPr>
        <sz val="12"/>
        <color rgb="FFFF0000"/>
        <rFont val="Times New Roman"/>
        <family val="1"/>
      </rPr>
      <t>panneaux type 321,1</t>
    </r>
  </si>
  <si>
    <t>entrée de l'échangeur Targa</t>
  </si>
  <si>
    <r>
      <rPr>
        <sz val="12"/>
        <color rgb="FFFF0000"/>
        <rFont val="Calibri"/>
        <family val="2"/>
        <scheme val="minor"/>
      </rPr>
      <t>01 supports</t>
    </r>
    <r>
      <rPr>
        <sz val="12"/>
        <rFont val="Calibri"/>
        <family val="2"/>
        <scheme val="minor"/>
      </rPr>
      <t>, y compris écarteurs et réflecteur</t>
    </r>
  </si>
  <si>
    <t>Echangeur LOUDAYA</t>
  </si>
  <si>
    <t>pannonceau</t>
  </si>
  <si>
    <r>
      <t xml:space="preserve"> Réparation 0,8 ml </t>
    </r>
    <r>
      <rPr>
        <sz val="12"/>
        <color rgb="FFFF0000"/>
        <rFont val="Calibri"/>
        <family val="2"/>
        <scheme val="minor"/>
      </rPr>
      <t>de DBA</t>
    </r>
    <r>
      <rPr>
        <sz val="12"/>
        <rFont val="Calibri"/>
        <family val="2"/>
        <scheme val="minor"/>
      </rPr>
      <t xml:space="preserve">  </t>
    </r>
  </si>
  <si>
    <r>
      <t>Fourniture et pose d'</t>
    </r>
    <r>
      <rPr>
        <sz val="12"/>
        <color rgb="FFFF0000"/>
        <rFont val="Calibri"/>
        <family val="2"/>
        <scheme val="minor"/>
      </rPr>
      <t>un détecteur de vent</t>
    </r>
  </si>
  <si>
    <t>détecteur de vent</t>
  </si>
  <si>
    <t>fin fil</t>
  </si>
  <si>
    <r>
      <t xml:space="preserve"> Fourniture et pose de </t>
    </r>
    <r>
      <rPr>
        <sz val="12"/>
        <color rgb="FFFF0000"/>
        <rFont val="Times New Roman"/>
        <family val="1"/>
      </rPr>
      <t>panneaux type 321,2</t>
    </r>
  </si>
  <si>
    <t>sortie de ADS Afriquia</t>
  </si>
  <si>
    <t>Enlèvement de support</t>
  </si>
  <si>
    <r>
      <t xml:space="preserve">Fourniture et pose de 01 </t>
    </r>
    <r>
      <rPr>
        <sz val="12"/>
        <color rgb="FFFF0000"/>
        <rFont val="Calibri"/>
        <family val="2"/>
        <scheme val="minor"/>
      </rPr>
      <t xml:space="preserve"> balise B12 a 2 chevrons</t>
    </r>
  </si>
  <si>
    <t>Entrée</t>
  </si>
  <si>
    <t>Balise B12</t>
  </si>
  <si>
    <r>
      <t xml:space="preserve">Fourniture et pose de  </t>
    </r>
    <r>
      <rPr>
        <sz val="12"/>
        <color rgb="FFFF0000"/>
        <rFont val="Calibri"/>
        <family val="2"/>
        <scheme val="minor"/>
      </rPr>
      <t>panneaux type  323.0</t>
    </r>
  </si>
  <si>
    <t>LV 60  Sortie</t>
  </si>
  <si>
    <r>
      <t xml:space="preserve">Fourniture et pose du panonceaux </t>
    </r>
    <r>
      <rPr>
        <sz val="12"/>
        <color rgb="FFFF0000"/>
        <rFont val="Calibri"/>
        <family val="2"/>
        <scheme val="minor"/>
      </rPr>
      <t xml:space="preserve">"تذكير" </t>
    </r>
  </si>
  <si>
    <t>Echangeur CHICHAOUA</t>
  </si>
  <si>
    <t>Réparation de glissière de sécurité  Qté = 12ml</t>
  </si>
  <si>
    <t>Réparation de glissière de sécurité GS4+ fin de fils  Qté = 08ml</t>
  </si>
  <si>
    <t>Réparation de glissière de sécurité  Qté = 16ml</t>
  </si>
  <si>
    <t>341+760</t>
  </si>
  <si>
    <t>373+000</t>
  </si>
  <si>
    <t>Réparation de glissière de sécurité GS2 Qté = 36ml</t>
  </si>
  <si>
    <t>424+400</t>
  </si>
  <si>
    <t>Réparation de glissière de sécurité Qté = 28ml</t>
  </si>
  <si>
    <t>395+200</t>
  </si>
  <si>
    <t>Réparation de glissière de sécurité GS2 Qté = 16ml</t>
  </si>
  <si>
    <t>372+600</t>
  </si>
  <si>
    <t>Réparation de glissière de sécurité GS2 Qté = 12ml</t>
  </si>
  <si>
    <t>Réparation de barrière de sécurité type DBA  Qté = 2ml</t>
  </si>
  <si>
    <t>369+250</t>
  </si>
  <si>
    <t>Réparation d'un lisse supérieure pour barrière de sécurité BN4 Qté = 8ml</t>
  </si>
  <si>
    <t>Réparation de glissière de sécurité GS2 Qté = 8ml</t>
  </si>
  <si>
    <t xml:space="preserve">Gare de péage Amskroud </t>
  </si>
  <si>
    <t>Fourniture et pose de garde corps des gares de péage Qté = 3ml</t>
  </si>
  <si>
    <t>Bretelle de sortie Imintanoute</t>
  </si>
  <si>
    <t xml:space="preserve">ilot </t>
  </si>
  <si>
    <t>Réparation de glissière de sécurité Qté = 8ml</t>
  </si>
  <si>
    <t>Fourniture et pose de chevron métallique pour musoir  Qté = 4ml</t>
  </si>
  <si>
    <t>284+900</t>
  </si>
  <si>
    <t>Réparation de glissière de sécurité  Qté = 8ml</t>
  </si>
  <si>
    <t>284+250</t>
  </si>
  <si>
    <t>Réparation de glissière de sécurité double pour ITPC Qté = 20ml</t>
  </si>
  <si>
    <t>Fourniture et pose de glissière double pour ITPC y compris support amovible et entretoise Qté = 24 ml</t>
  </si>
  <si>
    <t>Fourniture et pose de glissière y compris écarteurs, supports et réflecteurs Qté = 16 ml</t>
  </si>
  <si>
    <t xml:space="preserve">Fourniture et pose d'une Plaque kilométrique sur BAU Qté = 1 U </t>
  </si>
  <si>
    <t xml:space="preserve">Répartion d'un panneau sur accotement  (Oued Bouanfir ) Qté = </t>
  </si>
  <si>
    <t>Fourniture et pose de glissière y compris écarteurs, supports et réflecteurs sur Fuite de trafic (Urgent) Qté = 36 ml</t>
  </si>
  <si>
    <t>Fourniture et pose de glissière y compris écarteurs, supports et réflecteurs Qté = 28 ml</t>
  </si>
  <si>
    <t>Fourniture et pose de glissière y compris écarteurs, supports et réflecteurs Qté = 20 ml</t>
  </si>
  <si>
    <t>285+800</t>
  </si>
  <si>
    <t>Fourniture et pose d'un panneau standard "arrêt et stationnement interdit " type 328.2  Qté = 1U</t>
  </si>
  <si>
    <t>Fourniture et pose d'un support UPN pour panneau standard "arrêt et stationnement interdit " Qté = 3ml</t>
  </si>
  <si>
    <t>Fourniture et pose du panonceau "تذكير"  Qté = 0,33m²</t>
  </si>
  <si>
    <t>Fourniture et pose du panonceau " ممنوع الوقوف والتوقف طبقا للقانون 05/52" Qté = 0,50m²</t>
  </si>
  <si>
    <t>283+300</t>
  </si>
  <si>
    <t>Réparation de glissière de sécurité GS2 Qté = 48ml</t>
  </si>
  <si>
    <t>Fourniture et pose de glissière de sécurité y compris ecarteur et support  Qté = 36ml</t>
  </si>
  <si>
    <t>Réparation de glissière de sécurité sous le BHO Qté = 8ml</t>
  </si>
  <si>
    <t>Réparation de barrière de sécurité type DBA  Qté = 1,5ml</t>
  </si>
  <si>
    <t>Réparation de glissière de sécurité sous le BHO Qté = 16ml</t>
  </si>
  <si>
    <t>384+650</t>
  </si>
  <si>
    <t>Réparation de glissière de sécurité Qté = 24ml</t>
  </si>
  <si>
    <t>Fourniture et pose d'un Musoir pour ITPC   Qté = 2ml</t>
  </si>
  <si>
    <t>Réparation de glissière de sécurité GS2 Qté = 20ml</t>
  </si>
  <si>
    <t>393+030</t>
  </si>
  <si>
    <t xml:space="preserve">Entretien glissière de sécurité (GS contre sens) Qté = 4ml </t>
  </si>
  <si>
    <t>Réparation de glissière de sécurité sous le BHO Qté = 12ml</t>
  </si>
  <si>
    <t>Fourniture et pose d'un panonceau interdit "Arrêt et stationnement interdit conformément à la loi 52/05 " en Arabe  Qté = 0,50m²</t>
  </si>
  <si>
    <t>Fourniture et pose d'un panonceau Rappel en Arabe  Qté = 0,33m²</t>
  </si>
  <si>
    <t>397+890</t>
  </si>
  <si>
    <t>Entretien glissière de sécurité (GS contre sens) Qté = 4ml</t>
  </si>
  <si>
    <t xml:space="preserve">ADS shell PK406  Bretelle de sortier </t>
  </si>
  <si>
    <t>406+900</t>
  </si>
  <si>
    <t>Réparation de glissière de sécurité GS2 Qté = 4ml</t>
  </si>
  <si>
    <t>Réparation de glissières de sécurité GS2 Qté = 20ml</t>
  </si>
  <si>
    <t>Réparation de glissières de sécurité  Qté = 8ml</t>
  </si>
  <si>
    <t>ADS TOTAL PK424  Bretelle d'entrée</t>
  </si>
  <si>
    <t>Fourniture et pose de panneau standard LV40 Qté = 1U</t>
  </si>
  <si>
    <t>321+00</t>
  </si>
  <si>
    <t>Fourniture et pose d'un plaque kilometrique  Qté = 1U</t>
  </si>
  <si>
    <t>323+950</t>
  </si>
  <si>
    <t>Mise en ouvre d'un massif pour panneau standard LV100 Qté = 0,44m²</t>
  </si>
  <si>
    <t>392+800</t>
  </si>
  <si>
    <t>Fourniture de Pièce de liaison d'éxtémité pour barrière hors ouvrage  Qté = 1U</t>
  </si>
  <si>
    <t>Fourniture de tirant d'extrémité pour barrière hors ouvrage  Qté = 1U</t>
  </si>
  <si>
    <t>394+450</t>
  </si>
  <si>
    <t>Fourniture et pose d'un panonceau indiquant "Bande Rugueuses" Qté = 0,13m3</t>
  </si>
  <si>
    <t xml:space="preserve">Gare de péage Argana </t>
  </si>
  <si>
    <t>M/Ar</t>
  </si>
  <si>
    <t>Parking</t>
  </si>
  <si>
    <t>Fourniture et pose d'un panoneau d'indication parking type 401,0 Qté = 1U</t>
  </si>
  <si>
    <t>Ar/M</t>
  </si>
  <si>
    <t>Fourniture et pose d'un panneau standard "cédez le passage"  Qté = 1U</t>
  </si>
  <si>
    <t xml:space="preserve">Voie S01 </t>
  </si>
  <si>
    <t>Réparation Anti errement des gares de péage Qté = 1U</t>
  </si>
  <si>
    <t xml:space="preserve">Bretelle de sortie Argana </t>
  </si>
  <si>
    <t>Fourniture et pose d'un panneau standard LV40 Qté = 1U</t>
  </si>
  <si>
    <t>Voies péage</t>
  </si>
  <si>
    <t>Réparation Anti errement des gares de péage  Qté = 2U</t>
  </si>
  <si>
    <t>Réparation du garde corps des gares de péage   Qté = 3ml</t>
  </si>
  <si>
    <t>ADS Shell PK406</t>
  </si>
  <si>
    <t>Fourniture et pose de panneau standard "interdit de tourner à gouche " Qté = 1U</t>
  </si>
  <si>
    <t>Fourniture et pose de support UPN pour panneau "interdit de de tourner à gauche" Qté = 3ml</t>
  </si>
  <si>
    <t>390+560</t>
  </si>
  <si>
    <t>395+400</t>
  </si>
  <si>
    <t>Réparation de barrières en béton type GBA Qté = 1ml</t>
  </si>
  <si>
    <t>Fixation de la palque kilometrique  Qté = 1U</t>
  </si>
  <si>
    <t>412+050</t>
  </si>
  <si>
    <t>Fourniture et pose d'un panneau sur accotement indique" 5050" Qté = 1U</t>
  </si>
  <si>
    <t>COMMANDE N° 20  DU 09 / 06 /2026</t>
  </si>
  <si>
    <t>Etat des travaux à réaliser à partir du 09 / 6 /2026</t>
  </si>
  <si>
    <t>Béton pour massif</t>
  </si>
  <si>
    <t>Musoir</t>
  </si>
  <si>
    <t>panneau</t>
  </si>
  <si>
    <t>Plaque kilométrique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</si>
</sst>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+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1"/>
      <name val="Times New Roman"/>
      <family val="1"/>
    </font>
    <font>
      <b/>
      <sz val="2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medium">
        <color theme="4"/>
      </left>
      <right style="thin">
        <color theme="3" tint="0.39997558519241921"/>
      </right>
      <top style="medium">
        <color theme="4"/>
      </top>
      <bottom style="thin">
        <color theme="3" tint="0.39997558519241921"/>
      </bottom>
      <diagonal/>
    </border>
    <border>
      <left style="thin">
        <color theme="3" tint="0.39997558519241921"/>
      </left>
      <right style="thin">
        <color theme="3" tint="0.39997558519241921"/>
      </right>
      <top style="medium">
        <color theme="4"/>
      </top>
      <bottom style="thin">
        <color theme="3" tint="0.39997558519241921"/>
      </bottom>
      <diagonal/>
    </border>
    <border>
      <left style="thin">
        <color theme="3" tint="0.39997558519241921"/>
      </left>
      <right style="medium">
        <color theme="4"/>
      </right>
      <top style="medium">
        <color theme="4"/>
      </top>
      <bottom style="thin">
        <color theme="3" tint="0.39997558519241921"/>
      </bottom>
      <diagonal/>
    </border>
    <border>
      <left style="medium">
        <color theme="4"/>
      </left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 style="thin">
        <color theme="3" tint="0.39997558519241921"/>
      </left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 style="thin">
        <color theme="3" tint="0.39997558519241921"/>
      </left>
      <right style="medium">
        <color theme="4"/>
      </right>
      <top style="thin">
        <color theme="3" tint="0.39997558519241921"/>
      </top>
      <bottom style="thin">
        <color theme="3" tint="0.39997558519241921"/>
      </bottom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medium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medium">
        <color theme="4"/>
      </left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 style="medium">
        <color theme="4"/>
      </right>
      <top/>
      <bottom/>
      <diagonal/>
    </border>
  </borders>
  <cellStyleXfs count="3">
    <xf numFmtId="0" fontId="0" fillId="0" borderId="0"/>
    <xf numFmtId="0" fontId="7" fillId="0" borderId="0"/>
    <xf numFmtId="0" fontId="1" fillId="0" borderId="0"/>
  </cellStyleXfs>
  <cellXfs count="62">
    <xf numFmtId="0" fontId="0" fillId="0" borderId="0" xfId="0"/>
    <xf numFmtId="0" fontId="4" fillId="0" borderId="5" xfId="0" applyFont="1" applyBorder="1" applyAlignment="1">
      <alignment vertical="center"/>
    </xf>
    <xf numFmtId="0" fontId="3" fillId="0" borderId="7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0" fillId="2" borderId="0" xfId="0" applyFill="1"/>
    <xf numFmtId="164" fontId="9" fillId="2" borderId="9" xfId="0" applyNumberFormat="1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14" fontId="9" fillId="2" borderId="11" xfId="1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0" fillId="0" borderId="0" xfId="0" applyAlignment="1">
      <alignment wrapText="1"/>
    </xf>
    <xf numFmtId="0" fontId="3" fillId="2" borderId="10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13" fillId="2" borderId="12" xfId="1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 wrapText="1"/>
    </xf>
    <xf numFmtId="164" fontId="14" fillId="2" borderId="9" xfId="0" applyNumberFormat="1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14" fontId="14" fillId="2" borderId="11" xfId="1" applyNumberFormat="1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14" fontId="13" fillId="2" borderId="11" xfId="1" applyNumberFormat="1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14" fontId="17" fillId="2" borderId="11" xfId="1" applyNumberFormat="1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left" vertical="center" wrapText="1"/>
    </xf>
    <xf numFmtId="0" fontId="14" fillId="2" borderId="5" xfId="0" applyFont="1" applyFill="1" applyBorder="1" applyAlignment="1">
      <alignment horizontal="center" vertical="center" wrapText="1"/>
    </xf>
    <xf numFmtId="14" fontId="17" fillId="2" borderId="11" xfId="1" applyNumberFormat="1" applyFont="1" applyFill="1" applyBorder="1" applyAlignment="1">
      <alignment horizontal="center" vertical="center"/>
    </xf>
    <xf numFmtId="14" fontId="13" fillId="2" borderId="11" xfId="1" applyNumberFormat="1" applyFont="1" applyFill="1" applyBorder="1" applyAlignment="1">
      <alignment horizontal="center" vertical="center"/>
    </xf>
    <xf numFmtId="14" fontId="8" fillId="2" borderId="11" xfId="1" applyNumberFormat="1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12" fillId="3" borderId="15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6" fillId="2" borderId="7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9AD2819A-7802-4DCA-B0F6-95BA96423E4B}"/>
    <cellStyle name="Normal 3" xfId="2" xr:uid="{907D1243-6E68-4F6F-AA03-D2AAFD34F253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67980</xdr:colOff>
      <xdr:row>0</xdr:row>
      <xdr:rowOff>33617</xdr:rowOff>
    </xdr:from>
    <xdr:to>
      <xdr:col>4</xdr:col>
      <xdr:colOff>2408743</xdr:colOff>
      <xdr:row>1</xdr:row>
      <xdr:rowOff>403411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7068B61-C791-428E-9400-77A37C219D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373655" y="33617"/>
          <a:ext cx="2340763" cy="788894"/>
        </a:xfrm>
        <a:prstGeom prst="rect">
          <a:avLst/>
        </a:prstGeom>
      </xdr:spPr>
    </xdr:pic>
    <xdr:clientData/>
  </xdr:twoCellAnchor>
  <xdr:oneCellAnchor>
    <xdr:from>
      <xdr:col>4</xdr:col>
      <xdr:colOff>0</xdr:colOff>
      <xdr:row>8</xdr:row>
      <xdr:rowOff>0</xdr:rowOff>
    </xdr:from>
    <xdr:ext cx="304800" cy="304800"/>
    <xdr:sp macro="" textlink="">
      <xdr:nvSpPr>
        <xdr:cNvPr id="3" name="AutoShape 4" descr="blob:https://web.whatsapp.com/b6b5d04a-fd80-4f62-aa73-eb5cdf2817bb">
          <a:extLst>
            <a:ext uri="{FF2B5EF4-FFF2-40B4-BE49-F238E27FC236}">
              <a16:creationId xmlns:a16="http://schemas.microsoft.com/office/drawing/2014/main" id="{E6F733AE-0796-4C54-866C-E1BA7BD80357}"/>
            </a:ext>
          </a:extLst>
        </xdr:cNvPr>
        <xdr:cNvSpPr>
          <a:spLocks noChangeAspect="1" noChangeArrowheads="1"/>
        </xdr:cNvSpPr>
      </xdr:nvSpPr>
      <xdr:spPr bwMode="auto">
        <a:xfrm>
          <a:off x="7305675" y="234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304800"/>
    <xdr:sp macro="" textlink="">
      <xdr:nvSpPr>
        <xdr:cNvPr id="4" name="AutoShape 4" descr="blob:https://web.whatsapp.com/b6b5d04a-fd80-4f62-aa73-eb5cdf2817bb">
          <a:extLst>
            <a:ext uri="{FF2B5EF4-FFF2-40B4-BE49-F238E27FC236}">
              <a16:creationId xmlns:a16="http://schemas.microsoft.com/office/drawing/2014/main" id="{83F7D741-D09E-4A03-9EF2-C38BBBD753C9}"/>
            </a:ext>
          </a:extLst>
        </xdr:cNvPr>
        <xdr:cNvSpPr>
          <a:spLocks noChangeAspect="1" noChangeArrowheads="1"/>
        </xdr:cNvSpPr>
      </xdr:nvSpPr>
      <xdr:spPr bwMode="auto">
        <a:xfrm>
          <a:off x="7305675" y="234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304800"/>
    <xdr:sp macro="" textlink="">
      <xdr:nvSpPr>
        <xdr:cNvPr id="5" name="AutoShape 4" descr="blob:https://web.whatsapp.com/b6b5d04a-fd80-4f62-aa73-eb5cdf2817bb">
          <a:extLst>
            <a:ext uri="{FF2B5EF4-FFF2-40B4-BE49-F238E27FC236}">
              <a16:creationId xmlns:a16="http://schemas.microsoft.com/office/drawing/2014/main" id="{A795C561-257D-4C8D-80E1-EDAA77EF1A88}"/>
            </a:ext>
          </a:extLst>
        </xdr:cNvPr>
        <xdr:cNvSpPr>
          <a:spLocks noChangeAspect="1" noChangeArrowheads="1"/>
        </xdr:cNvSpPr>
      </xdr:nvSpPr>
      <xdr:spPr bwMode="auto">
        <a:xfrm>
          <a:off x="7305675" y="234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304800"/>
    <xdr:sp macro="" textlink="">
      <xdr:nvSpPr>
        <xdr:cNvPr id="6" name="AutoShape 4" descr="blob:https://web.whatsapp.com/b6b5d04a-fd80-4f62-aa73-eb5cdf2817bb">
          <a:extLst>
            <a:ext uri="{FF2B5EF4-FFF2-40B4-BE49-F238E27FC236}">
              <a16:creationId xmlns:a16="http://schemas.microsoft.com/office/drawing/2014/main" id="{0D9B8666-2235-4A93-B134-842AA8173B01}"/>
            </a:ext>
          </a:extLst>
        </xdr:cNvPr>
        <xdr:cNvSpPr>
          <a:spLocks noChangeAspect="1" noChangeArrowheads="1"/>
        </xdr:cNvSpPr>
      </xdr:nvSpPr>
      <xdr:spPr bwMode="auto">
        <a:xfrm>
          <a:off x="7305675" y="234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67980</xdr:colOff>
      <xdr:row>0</xdr:row>
      <xdr:rowOff>33617</xdr:rowOff>
    </xdr:from>
    <xdr:to>
      <xdr:col>4</xdr:col>
      <xdr:colOff>2408743</xdr:colOff>
      <xdr:row>1</xdr:row>
      <xdr:rowOff>403411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6C19A1FB-B12F-43B7-A78F-3F28D702E7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373655" y="33617"/>
          <a:ext cx="2340763" cy="788894"/>
        </a:xfrm>
        <a:prstGeom prst="rect">
          <a:avLst/>
        </a:prstGeom>
      </xdr:spPr>
    </xdr:pic>
    <xdr:clientData/>
  </xdr:twoCellAnchor>
  <xdr:oneCellAnchor>
    <xdr:from>
      <xdr:col>4</xdr:col>
      <xdr:colOff>0</xdr:colOff>
      <xdr:row>0</xdr:row>
      <xdr:rowOff>0</xdr:rowOff>
    </xdr:from>
    <xdr:ext cx="304800" cy="304800"/>
    <xdr:sp macro="" textlink="">
      <xdr:nvSpPr>
        <xdr:cNvPr id="8" name="AutoShape 4" descr="blob:https://web.whatsapp.com/b6b5d04a-fd80-4f62-aa73-eb5cdf2817bb">
          <a:extLst>
            <a:ext uri="{FF2B5EF4-FFF2-40B4-BE49-F238E27FC236}">
              <a16:creationId xmlns:a16="http://schemas.microsoft.com/office/drawing/2014/main" id="{80BF2DA7-A0C8-4B9D-995A-6250D14514A4}"/>
            </a:ext>
          </a:extLst>
        </xdr:cNvPr>
        <xdr:cNvSpPr>
          <a:spLocks noChangeAspect="1" noChangeArrowheads="1"/>
        </xdr:cNvSpPr>
      </xdr:nvSpPr>
      <xdr:spPr bwMode="auto">
        <a:xfrm>
          <a:off x="73056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04800"/>
    <xdr:sp macro="" textlink="">
      <xdr:nvSpPr>
        <xdr:cNvPr id="9" name="AutoShape 4" descr="blob:https://web.whatsapp.com/b6b5d04a-fd80-4f62-aa73-eb5cdf2817bb">
          <a:extLst>
            <a:ext uri="{FF2B5EF4-FFF2-40B4-BE49-F238E27FC236}">
              <a16:creationId xmlns:a16="http://schemas.microsoft.com/office/drawing/2014/main" id="{530D23B2-9B47-43F3-BCD1-9974A7BBDBA7}"/>
            </a:ext>
          </a:extLst>
        </xdr:cNvPr>
        <xdr:cNvSpPr>
          <a:spLocks noChangeAspect="1" noChangeArrowheads="1"/>
        </xdr:cNvSpPr>
      </xdr:nvSpPr>
      <xdr:spPr bwMode="auto">
        <a:xfrm>
          <a:off x="73056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04800"/>
    <xdr:sp macro="" textlink="">
      <xdr:nvSpPr>
        <xdr:cNvPr id="10" name="AutoShape 4" descr="blob:https://web.whatsapp.com/b6b5d04a-fd80-4f62-aa73-eb5cdf2817bb">
          <a:extLst>
            <a:ext uri="{FF2B5EF4-FFF2-40B4-BE49-F238E27FC236}">
              <a16:creationId xmlns:a16="http://schemas.microsoft.com/office/drawing/2014/main" id="{1F80C38B-6A6F-4073-BDFF-C5B10B521045}"/>
            </a:ext>
          </a:extLst>
        </xdr:cNvPr>
        <xdr:cNvSpPr>
          <a:spLocks noChangeAspect="1" noChangeArrowheads="1"/>
        </xdr:cNvSpPr>
      </xdr:nvSpPr>
      <xdr:spPr bwMode="auto">
        <a:xfrm>
          <a:off x="73056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04800"/>
    <xdr:sp macro="" textlink="">
      <xdr:nvSpPr>
        <xdr:cNvPr id="11" name="AutoShape 4" descr="blob:https://web.whatsapp.com/b6b5d04a-fd80-4f62-aa73-eb5cdf2817bb">
          <a:extLst>
            <a:ext uri="{FF2B5EF4-FFF2-40B4-BE49-F238E27FC236}">
              <a16:creationId xmlns:a16="http://schemas.microsoft.com/office/drawing/2014/main" id="{B8A393FD-8FB1-4673-8F2D-7A1314E7D264}"/>
            </a:ext>
          </a:extLst>
        </xdr:cNvPr>
        <xdr:cNvSpPr>
          <a:spLocks noChangeAspect="1" noChangeArrowheads="1"/>
        </xdr:cNvSpPr>
      </xdr:nvSpPr>
      <xdr:spPr bwMode="auto">
        <a:xfrm>
          <a:off x="73056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isque%20local\CEJ\Viabilit&#233;\Viabilit&#233;\Bilan%20mensuels%20des%20accidents\Bilan%202018\Bilan%20mensuel%20des%20accidents%202017%20complet%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isque%20local\CEJ\Viabilit&#233;\Viabilit&#233;\Bilan%20mensuels%20des%20accidents\Bilan%202018\CEX-201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isque%20local\CEJ\Viabilit&#233;\Viabilit&#233;\Bilan%20mensuels%20des%20accidents\Bilan%202018\CEX-2014%20version%20du%2017072014%20MODIFI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is 1-2017"/>
      <sheetName val="Mois 2-2017"/>
      <sheetName val="Mois 3-2017 "/>
      <sheetName val="Mois 4-2017  "/>
      <sheetName val="Mois 5-2017 "/>
      <sheetName val="Mois 6-2017  "/>
      <sheetName val="Mois 7-2017 "/>
      <sheetName val="Mois 8-2017"/>
      <sheetName val="Mois 9-2017   "/>
      <sheetName val="Mois 10-2017  "/>
      <sheetName val="Mois 11-2017   "/>
      <sheetName val="Mois 12-2017   "/>
      <sheetName val="Liste"/>
      <sheetName val="Récapitulatif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0">
          <cell r="E10" t="str">
            <v>Bretelle entrée</v>
          </cell>
          <cell r="F10" t="str">
            <v>Bretelle entrée</v>
          </cell>
          <cell r="G10" t="str">
            <v>Bifurcation</v>
          </cell>
          <cell r="H10" t="str">
            <v>Tête nord</v>
          </cell>
          <cell r="I10" t="str">
            <v>Alignement droit</v>
          </cell>
          <cell r="J10" t="str">
            <v>Montée</v>
          </cell>
          <cell r="K10" t="str">
            <v>Normale</v>
          </cell>
          <cell r="L10" t="str">
            <v>Travaux</v>
          </cell>
          <cell r="M10" t="str">
            <v>Sèche</v>
          </cell>
          <cell r="N10" t="str">
            <v>Temps normal</v>
          </cell>
          <cell r="O10" t="str">
            <v xml:space="preserve">Bonne </v>
          </cell>
          <cell r="P10" t="str">
            <v>Plein jour</v>
          </cell>
          <cell r="Q10" t="str">
            <v>Domicile-Travail</v>
          </cell>
          <cell r="R10" t="str">
            <v>TPC</v>
          </cell>
          <cell r="S10" t="str">
            <v>Franchissement</v>
          </cell>
          <cell r="T10" t="str">
            <v>OUI</v>
          </cell>
          <cell r="U10" t="str">
            <v>Centre d'appel</v>
          </cell>
          <cell r="V10" t="str">
            <v>PL</v>
          </cell>
          <cell r="W10" t="str">
            <v xml:space="preserve">Bon </v>
          </cell>
          <cell r="X10">
            <v>1</v>
          </cell>
          <cell r="Y10" t="str">
            <v>homme</v>
          </cell>
          <cell r="Z10" t="str">
            <v>BL</v>
          </cell>
          <cell r="AA10" t="str">
            <v>Oui</v>
          </cell>
          <cell r="AB10">
            <v>1.1000000000000001</v>
          </cell>
          <cell r="AC10">
            <v>1</v>
          </cell>
          <cell r="AD10" t="str">
            <v>PK croissants</v>
          </cell>
          <cell r="AE10" t="str">
            <v>BOUZNIKA</v>
          </cell>
        </row>
        <row r="11">
          <cell r="E11" t="str">
            <v>Bretelle sortie</v>
          </cell>
          <cell r="F11" t="str">
            <v>Bretelle sortie</v>
          </cell>
          <cell r="H11" t="str">
            <v>Tête sud</v>
          </cell>
          <cell r="I11" t="str">
            <v>Courbe</v>
          </cell>
          <cell r="J11" t="str">
            <v>Descente</v>
          </cell>
          <cell r="L11" t="str">
            <v>Accident</v>
          </cell>
          <cell r="M11" t="str">
            <v>Mouillée</v>
          </cell>
          <cell r="N11" t="str">
            <v>Pluie</v>
          </cell>
          <cell r="O11" t="str">
            <v>Moyenne</v>
          </cell>
          <cell r="P11" t="str">
            <v>Eblouissement</v>
          </cell>
          <cell r="Q11" t="str">
            <v>Utilisation professionnelle</v>
          </cell>
          <cell r="R11" t="str">
            <v>BAU</v>
          </cell>
          <cell r="S11" t="str">
            <v xml:space="preserve">sans </v>
          </cell>
          <cell r="T11" t="str">
            <v>NON</v>
          </cell>
          <cell r="U11" t="str">
            <v>Patrouilleur</v>
          </cell>
          <cell r="V11" t="str">
            <v>Moto</v>
          </cell>
          <cell r="W11" t="str">
            <v>Mauvais</v>
          </cell>
          <cell r="X11">
            <v>0</v>
          </cell>
          <cell r="Y11" t="str">
            <v>femme</v>
          </cell>
          <cell r="Z11" t="str">
            <v>BG</v>
          </cell>
          <cell r="AA11" t="str">
            <v>Non</v>
          </cell>
          <cell r="AB11">
            <v>1.2</v>
          </cell>
          <cell r="AC11">
            <v>2</v>
          </cell>
          <cell r="AD11" t="str">
            <v>PK décroissants</v>
          </cell>
          <cell r="AE11" t="str">
            <v>EL JADIDA</v>
          </cell>
        </row>
        <row r="12">
          <cell r="E12" t="str">
            <v>Pétrolier</v>
          </cell>
          <cell r="F12" t="str">
            <v>Collectrice</v>
          </cell>
          <cell r="H12" t="str">
            <v>Intérieur</v>
          </cell>
          <cell r="J12" t="str">
            <v>Plat</v>
          </cell>
          <cell r="L12" t="str">
            <v>Incendie/fumée</v>
          </cell>
          <cell r="M12" t="str">
            <v>Matière glissante</v>
          </cell>
          <cell r="N12" t="str">
            <v>Vent</v>
          </cell>
          <cell r="O12" t="str">
            <v xml:space="preserve">Mauvaise </v>
          </cell>
          <cell r="P12" t="str">
            <v>Nuit sans éclairage</v>
          </cell>
          <cell r="Q12" t="str">
            <v>Promenade-Loisirs</v>
          </cell>
          <cell r="R12" t="str">
            <v>Les deux</v>
          </cell>
          <cell r="U12" t="str">
            <v>Agent ADM</v>
          </cell>
          <cell r="V12" t="str">
            <v>Véhicule utilitaire</v>
          </cell>
          <cell r="Z12" t="str">
            <v>T</v>
          </cell>
          <cell r="AB12">
            <v>1.3</v>
          </cell>
          <cell r="AC12">
            <v>3</v>
          </cell>
          <cell r="AE12" t="str">
            <v>MARRAKECH</v>
          </cell>
        </row>
        <row r="13">
          <cell r="E13" t="str">
            <v>Parking</v>
          </cell>
          <cell r="F13" t="str">
            <v>Plate-forme péage</v>
          </cell>
          <cell r="L13" t="str">
            <v>Balisage</v>
          </cell>
          <cell r="M13" t="str">
            <v>Boue</v>
          </cell>
          <cell r="N13" t="str">
            <v>Brouillard</v>
          </cell>
          <cell r="P13" t="str">
            <v>Nuit avec éclairage</v>
          </cell>
          <cell r="U13" t="str">
            <v>Dépanneur agrée</v>
          </cell>
          <cell r="V13" t="str">
            <v>Autocar</v>
          </cell>
          <cell r="AB13">
            <v>1.4</v>
          </cell>
          <cell r="AC13">
            <v>4</v>
          </cell>
          <cell r="AE13" t="str">
            <v xml:space="preserve">AGADIR </v>
          </cell>
        </row>
        <row r="14">
          <cell r="F14" t="str">
            <v>Carrefour de raccordement</v>
          </cell>
          <cell r="L14" t="str">
            <v>Bouchon/Ralentissement</v>
          </cell>
          <cell r="M14" t="str">
            <v xml:space="preserve">Gravillons </v>
          </cell>
          <cell r="N14" t="str">
            <v>Fumée</v>
          </cell>
          <cell r="U14" t="str">
            <v>Gendarmerie</v>
          </cell>
          <cell r="V14" t="str">
            <v xml:space="preserve">VL </v>
          </cell>
          <cell r="AB14">
            <v>2.1</v>
          </cell>
          <cell r="AC14">
            <v>5</v>
          </cell>
          <cell r="AE14" t="str">
            <v>KENITRA</v>
          </cell>
        </row>
        <row r="15">
          <cell r="L15" t="str">
            <v>Véhicule arrêté sur voie</v>
          </cell>
          <cell r="M15" t="str">
            <v>Première pluie</v>
          </cell>
          <cell r="U15" t="str">
            <v>Usager</v>
          </cell>
          <cell r="AB15">
            <v>2.2000000000000002</v>
          </cell>
          <cell r="AC15">
            <v>7</v>
          </cell>
          <cell r="AE15" t="str">
            <v>TANGER</v>
          </cell>
        </row>
        <row r="16">
          <cell r="L16" t="str">
            <v>Véhicule arrêté hors voies</v>
          </cell>
          <cell r="AB16">
            <v>2.2999999999999998</v>
          </cell>
          <cell r="AC16">
            <v>51</v>
          </cell>
          <cell r="AE16" t="str">
            <v>BOUSKOURA</v>
          </cell>
        </row>
        <row r="17">
          <cell r="AB17">
            <v>2.4</v>
          </cell>
          <cell r="AC17">
            <v>31</v>
          </cell>
          <cell r="AE17" t="str">
            <v>KHOURIBGA</v>
          </cell>
        </row>
        <row r="18">
          <cell r="AB18">
            <v>2.5</v>
          </cell>
          <cell r="AC18">
            <v>501</v>
          </cell>
          <cell r="AE18" t="str">
            <v>OUJDA</v>
          </cell>
        </row>
        <row r="19">
          <cell r="AB19">
            <v>3.1</v>
          </cell>
          <cell r="AC19">
            <v>201</v>
          </cell>
          <cell r="AE19" t="str">
            <v>FES</v>
          </cell>
        </row>
        <row r="20">
          <cell r="AB20">
            <v>3.2</v>
          </cell>
          <cell r="AC20">
            <v>101</v>
          </cell>
          <cell r="AE20" t="str">
            <v>MEKNES</v>
          </cell>
        </row>
        <row r="21">
          <cell r="AB21">
            <v>3.3</v>
          </cell>
          <cell r="AC21">
            <v>102</v>
          </cell>
        </row>
        <row r="22">
          <cell r="AB22">
            <v>3.4</v>
          </cell>
          <cell r="AC22">
            <v>103</v>
          </cell>
        </row>
        <row r="23">
          <cell r="AB23">
            <v>3.5</v>
          </cell>
          <cell r="AC23">
            <v>301</v>
          </cell>
        </row>
        <row r="24">
          <cell r="AB24">
            <v>3.6</v>
          </cell>
        </row>
        <row r="25">
          <cell r="AB25">
            <v>3.7</v>
          </cell>
        </row>
        <row r="26">
          <cell r="AB26">
            <v>3.8</v>
          </cell>
        </row>
        <row r="27">
          <cell r="AB27">
            <v>3.9</v>
          </cell>
        </row>
        <row r="28">
          <cell r="AB28">
            <v>4.0999999999999996</v>
          </cell>
        </row>
        <row r="29">
          <cell r="AB29">
            <v>4.2</v>
          </cell>
        </row>
        <row r="30">
          <cell r="AB30" t="str">
            <v>4.3.1</v>
          </cell>
        </row>
        <row r="31">
          <cell r="AB31" t="str">
            <v>4.3.2</v>
          </cell>
        </row>
        <row r="32">
          <cell r="AB32">
            <v>4.4000000000000004</v>
          </cell>
        </row>
        <row r="33">
          <cell r="AB33">
            <v>4.5</v>
          </cell>
        </row>
        <row r="34">
          <cell r="AB34">
            <v>4.5999999999999996</v>
          </cell>
        </row>
        <row r="35">
          <cell r="AB35">
            <v>4.7</v>
          </cell>
        </row>
      </sheetData>
      <sheetData sheetId="13"/>
      <sheetData sheetId="14">
        <row r="7">
          <cell r="C7" t="str">
            <v>DEC 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is 1-2014"/>
      <sheetName val="Mois 2-2014"/>
      <sheetName val="Mois 3-2014"/>
      <sheetName val="Mois 4-2014"/>
      <sheetName val="Mois 5-2014"/>
      <sheetName val="Mois 6-2014"/>
      <sheetName val="Mois 7-2014"/>
      <sheetName val="Mois 8-2014"/>
      <sheetName val="Mois 9-2014"/>
      <sheetName val="Mois 10-2014"/>
      <sheetName val="Mois 11-2014"/>
      <sheetName val="Mois 12-2014"/>
      <sheetName val="Lis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0">
          <cell r="AA10" t="str">
            <v>Oui</v>
          </cell>
          <cell r="AC10">
            <v>1</v>
          </cell>
        </row>
        <row r="11">
          <cell r="AC11">
            <v>2</v>
          </cell>
        </row>
        <row r="12">
          <cell r="AC12">
            <v>3</v>
          </cell>
        </row>
        <row r="13">
          <cell r="AC13">
            <v>4</v>
          </cell>
        </row>
        <row r="14">
          <cell r="AC14">
            <v>5</v>
          </cell>
        </row>
        <row r="15">
          <cell r="AC15">
            <v>7</v>
          </cell>
        </row>
        <row r="16">
          <cell r="AC16">
            <v>51</v>
          </cell>
        </row>
        <row r="17">
          <cell r="AC17">
            <v>31</v>
          </cell>
        </row>
        <row r="18">
          <cell r="AC18">
            <v>501</v>
          </cell>
        </row>
        <row r="19">
          <cell r="AC19">
            <v>201</v>
          </cell>
        </row>
        <row r="20">
          <cell r="AC20">
            <v>101</v>
          </cell>
        </row>
        <row r="21">
          <cell r="AC21">
            <v>102</v>
          </cell>
        </row>
        <row r="22">
          <cell r="AC22">
            <v>103</v>
          </cell>
        </row>
        <row r="23">
          <cell r="AC23">
            <v>301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is 1-2014"/>
      <sheetName val="Mois 2-2014"/>
      <sheetName val="Mois 3-2014"/>
      <sheetName val="Mois 4-2014"/>
      <sheetName val="Mois 5-2014"/>
      <sheetName val="Mois 6-2014"/>
      <sheetName val="Mois 7-2014"/>
      <sheetName val="Mois 8-2014"/>
      <sheetName val="Mois 9-2014"/>
      <sheetName val="Mois 10-2014"/>
      <sheetName val="Mois 11-2014"/>
      <sheetName val="Mois 12-2014"/>
      <sheetName val="Lis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0">
          <cell r="E10" t="str">
            <v>Bretelle entrée</v>
          </cell>
          <cell r="G10" t="str">
            <v>Bifurcation</v>
          </cell>
          <cell r="AD10" t="str">
            <v>PK croissants</v>
          </cell>
        </row>
        <row r="11">
          <cell r="AD11" t="str">
            <v>PK décroissants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FE540-86BD-4059-8603-389B9ABC0275}">
  <sheetPr>
    <pageSetUpPr fitToPage="1"/>
  </sheetPr>
  <dimension ref="A1:G177"/>
  <sheetViews>
    <sheetView tabSelected="1" view="pageBreakPreview" zoomScale="85" zoomScaleNormal="70" zoomScaleSheetLayoutView="85" workbookViewId="0">
      <selection activeCell="E17" sqref="E17"/>
    </sheetView>
  </sheetViews>
  <sheetFormatPr baseColWidth="10" defaultRowHeight="15.75" x14ac:dyDescent="0.25"/>
  <cols>
    <col min="1" max="1" width="19.5703125" customWidth="1"/>
    <col min="2" max="2" width="8.42578125" customWidth="1"/>
    <col min="3" max="3" width="15" customWidth="1"/>
    <col min="4" max="4" width="66.5703125" style="12" customWidth="1"/>
    <col min="5" max="5" width="37.42578125" style="13" customWidth="1"/>
    <col min="6" max="6" width="7.140625" customWidth="1"/>
    <col min="7" max="7" width="30.5703125" bestFit="1" customWidth="1"/>
  </cols>
  <sheetData>
    <row r="1" spans="1:7" ht="33" customHeight="1" x14ac:dyDescent="0.25">
      <c r="A1" s="51" t="s">
        <v>209</v>
      </c>
      <c r="B1" s="52"/>
      <c r="C1" s="52"/>
      <c r="D1" s="52"/>
      <c r="E1" s="53"/>
    </row>
    <row r="2" spans="1:7" ht="32.25" customHeight="1" x14ac:dyDescent="0.25">
      <c r="A2" s="40" t="s">
        <v>0</v>
      </c>
      <c r="B2" s="41"/>
      <c r="C2" s="41"/>
      <c r="D2" s="1" t="s">
        <v>1</v>
      </c>
      <c r="E2" s="54"/>
    </row>
    <row r="3" spans="1:7" ht="32.25" customHeight="1" x14ac:dyDescent="0.25">
      <c r="A3" s="40" t="s">
        <v>2</v>
      </c>
      <c r="B3" s="41"/>
      <c r="C3" s="41"/>
      <c r="D3" s="55" t="s">
        <v>3</v>
      </c>
      <c r="E3" s="56"/>
    </row>
    <row r="4" spans="1:7" ht="29.25" customHeight="1" x14ac:dyDescent="0.25">
      <c r="A4" s="40" t="s">
        <v>4</v>
      </c>
      <c r="B4" s="41"/>
      <c r="C4" s="41"/>
      <c r="D4" s="42" t="s">
        <v>5</v>
      </c>
      <c r="E4" s="43"/>
    </row>
    <row r="5" spans="1:7" ht="5.25" customHeight="1" x14ac:dyDescent="0.25">
      <c r="A5" s="2"/>
      <c r="B5" s="3"/>
      <c r="C5" s="3"/>
      <c r="D5" s="4"/>
      <c r="E5" s="5"/>
    </row>
    <row r="6" spans="1:7" ht="21" customHeight="1" x14ac:dyDescent="0.3">
      <c r="A6" s="57" t="s">
        <v>210</v>
      </c>
      <c r="B6" s="58"/>
      <c r="C6" s="58"/>
      <c r="D6" s="58"/>
      <c r="E6" s="59"/>
    </row>
    <row r="7" spans="1:7" x14ac:dyDescent="0.25">
      <c r="A7" s="60" t="s">
        <v>6</v>
      </c>
      <c r="B7" s="61"/>
      <c r="C7" s="61"/>
    </row>
    <row r="8" spans="1:7" x14ac:dyDescent="0.25">
      <c r="A8" s="6" t="s">
        <v>9</v>
      </c>
      <c r="B8" s="7" t="s">
        <v>10</v>
      </c>
      <c r="C8" s="7" t="s">
        <v>11</v>
      </c>
      <c r="D8" s="14" t="s">
        <v>7</v>
      </c>
      <c r="E8" s="15" t="s">
        <v>8</v>
      </c>
      <c r="F8" s="16" t="s">
        <v>19</v>
      </c>
      <c r="G8" s="16" t="s">
        <v>20</v>
      </c>
    </row>
    <row r="9" spans="1:7" s="8" customFormat="1" x14ac:dyDescent="0.25">
      <c r="A9" s="48" t="s">
        <v>21</v>
      </c>
      <c r="B9" s="49"/>
      <c r="C9" s="49"/>
      <c r="D9" s="49"/>
      <c r="E9" s="50"/>
      <c r="F9" s="17"/>
      <c r="G9" s="18"/>
    </row>
    <row r="10" spans="1:7" s="8" customFormat="1" ht="31.5" x14ac:dyDescent="0.25">
      <c r="A10" s="19">
        <v>76000</v>
      </c>
      <c r="B10" s="21" t="s">
        <v>29</v>
      </c>
      <c r="C10" s="21" t="s">
        <v>28</v>
      </c>
      <c r="D10" s="30" t="s">
        <v>68</v>
      </c>
      <c r="E10" s="27"/>
      <c r="F10" s="17">
        <v>40</v>
      </c>
      <c r="G10" s="28" t="s">
        <v>12</v>
      </c>
    </row>
    <row r="11" spans="1:7" s="8" customFormat="1" ht="31.5" x14ac:dyDescent="0.25">
      <c r="A11" s="19">
        <v>61000</v>
      </c>
      <c r="B11" s="21" t="s">
        <v>29</v>
      </c>
      <c r="C11" s="21" t="s">
        <v>28</v>
      </c>
      <c r="D11" s="30" t="s">
        <v>68</v>
      </c>
      <c r="E11" s="27"/>
      <c r="F11" s="17">
        <v>40</v>
      </c>
      <c r="G11" s="28" t="s">
        <v>12</v>
      </c>
    </row>
    <row r="12" spans="1:7" s="8" customFormat="1" ht="31.5" x14ac:dyDescent="0.25">
      <c r="A12" s="19">
        <v>60000</v>
      </c>
      <c r="B12" s="21" t="s">
        <v>29</v>
      </c>
      <c r="C12" s="21" t="s">
        <v>28</v>
      </c>
      <c r="D12" s="30" t="s">
        <v>68</v>
      </c>
      <c r="E12" s="27"/>
      <c r="F12" s="17">
        <v>40</v>
      </c>
      <c r="G12" s="28" t="s">
        <v>12</v>
      </c>
    </row>
    <row r="13" spans="1:7" s="8" customFormat="1" ht="31.5" x14ac:dyDescent="0.25">
      <c r="A13" s="19">
        <v>34000</v>
      </c>
      <c r="B13" s="21" t="s">
        <v>27</v>
      </c>
      <c r="C13" s="21" t="s">
        <v>28</v>
      </c>
      <c r="D13" s="30" t="s">
        <v>68</v>
      </c>
      <c r="E13" s="31"/>
      <c r="F13" s="17">
        <v>40</v>
      </c>
      <c r="G13" s="28" t="s">
        <v>12</v>
      </c>
    </row>
    <row r="14" spans="1:7" s="8" customFormat="1" ht="31.5" x14ac:dyDescent="0.25">
      <c r="A14" s="19">
        <v>47000</v>
      </c>
      <c r="B14" s="21" t="s">
        <v>27</v>
      </c>
      <c r="C14" s="21" t="s">
        <v>69</v>
      </c>
      <c r="D14" s="30" t="s">
        <v>68</v>
      </c>
      <c r="E14" s="31"/>
      <c r="F14" s="17">
        <v>40</v>
      </c>
      <c r="G14" s="28" t="s">
        <v>12</v>
      </c>
    </row>
    <row r="15" spans="1:7" s="8" customFormat="1" ht="31.5" x14ac:dyDescent="0.25">
      <c r="A15" s="19">
        <v>58000</v>
      </c>
      <c r="B15" s="21" t="s">
        <v>27</v>
      </c>
      <c r="C15" s="21" t="s">
        <v>17</v>
      </c>
      <c r="D15" s="30" t="s">
        <v>70</v>
      </c>
      <c r="E15" s="24"/>
      <c r="F15" s="17">
        <v>60</v>
      </c>
      <c r="G15" s="28" t="s">
        <v>12</v>
      </c>
    </row>
    <row r="16" spans="1:7" s="8" customFormat="1" ht="31.5" x14ac:dyDescent="0.25">
      <c r="A16" s="19">
        <v>54000</v>
      </c>
      <c r="B16" s="21" t="s">
        <v>27</v>
      </c>
      <c r="C16" s="21" t="s">
        <v>17</v>
      </c>
      <c r="D16" s="30" t="s">
        <v>71</v>
      </c>
      <c r="E16" s="32"/>
      <c r="F16" s="17">
        <v>36</v>
      </c>
      <c r="G16" s="28" t="s">
        <v>12</v>
      </c>
    </row>
    <row r="17" spans="1:7" s="8" customFormat="1" ht="31.5" x14ac:dyDescent="0.25">
      <c r="A17" s="19">
        <v>32000</v>
      </c>
      <c r="B17" s="21" t="s">
        <v>27</v>
      </c>
      <c r="C17" s="21" t="s">
        <v>25</v>
      </c>
      <c r="D17" s="30" t="s">
        <v>71</v>
      </c>
      <c r="E17" s="32"/>
      <c r="F17" s="17">
        <v>36</v>
      </c>
      <c r="G17" s="28" t="s">
        <v>12</v>
      </c>
    </row>
    <row r="18" spans="1:7" s="8" customFormat="1" ht="31.5" x14ac:dyDescent="0.25">
      <c r="A18" s="19">
        <v>36000</v>
      </c>
      <c r="B18" s="21" t="s">
        <v>27</v>
      </c>
      <c r="C18" s="21" t="s">
        <v>25</v>
      </c>
      <c r="D18" s="30" t="s">
        <v>68</v>
      </c>
      <c r="E18" s="24"/>
      <c r="F18" s="17">
        <v>40</v>
      </c>
      <c r="G18" s="28" t="s">
        <v>12</v>
      </c>
    </row>
    <row r="19" spans="1:7" s="8" customFormat="1" ht="31.5" x14ac:dyDescent="0.25">
      <c r="A19" s="19">
        <v>340000</v>
      </c>
      <c r="B19" s="21" t="s">
        <v>27</v>
      </c>
      <c r="C19" s="21" t="s">
        <v>72</v>
      </c>
      <c r="D19" s="30" t="s">
        <v>73</v>
      </c>
      <c r="E19" s="24"/>
      <c r="F19" s="17">
        <v>200</v>
      </c>
      <c r="G19" s="28" t="s">
        <v>12</v>
      </c>
    </row>
    <row r="20" spans="1:7" s="8" customFormat="1" ht="31.5" x14ac:dyDescent="0.25">
      <c r="A20" s="19" t="s">
        <v>74</v>
      </c>
      <c r="B20" s="21" t="s">
        <v>18</v>
      </c>
      <c r="C20" s="21" t="s">
        <v>28</v>
      </c>
      <c r="D20" s="30" t="s">
        <v>75</v>
      </c>
      <c r="E20" s="24"/>
      <c r="F20" s="17">
        <v>10</v>
      </c>
      <c r="G20" s="28" t="s">
        <v>12</v>
      </c>
    </row>
    <row r="21" spans="1:7" s="8" customFormat="1" x14ac:dyDescent="0.25">
      <c r="A21" s="44" t="s">
        <v>13</v>
      </c>
      <c r="B21" s="45"/>
      <c r="C21" s="46"/>
      <c r="D21" s="46"/>
      <c r="E21" s="47"/>
      <c r="F21" s="17"/>
      <c r="G21" s="28"/>
    </row>
    <row r="22" spans="1:7" s="8" customFormat="1" ht="31.5" x14ac:dyDescent="0.25">
      <c r="A22" s="9">
        <v>7050</v>
      </c>
      <c r="B22" s="10" t="s">
        <v>26</v>
      </c>
      <c r="C22" s="10" t="s">
        <v>16</v>
      </c>
      <c r="D22" s="25" t="str">
        <f t="shared" ref="D22:D31" si="0">"Fourniture et pose de "&amp;F22&amp; " ML de glissière y compris écarteurs, supports et réflecteurs"</f>
        <v>Fourniture et pose de 8 ML de glissière y compris écarteurs, supports et réflecteurs</v>
      </c>
      <c r="E22" s="11"/>
      <c r="F22" s="17">
        <v>8</v>
      </c>
      <c r="G22" s="28" t="s">
        <v>12</v>
      </c>
    </row>
    <row r="23" spans="1:7" s="8" customFormat="1" ht="31.5" x14ac:dyDescent="0.25">
      <c r="A23" s="9">
        <v>7700</v>
      </c>
      <c r="B23" s="10" t="s">
        <v>26</v>
      </c>
      <c r="C23" s="10" t="s">
        <v>16</v>
      </c>
      <c r="D23" s="25" t="str">
        <f t="shared" si="0"/>
        <v>Fourniture et pose de 20 ML de glissière y compris écarteurs, supports et réflecteurs</v>
      </c>
      <c r="E23" s="11"/>
      <c r="F23" s="17">
        <v>20</v>
      </c>
      <c r="G23" s="28" t="s">
        <v>12</v>
      </c>
    </row>
    <row r="24" spans="1:7" s="8" customFormat="1" ht="31.5" x14ac:dyDescent="0.25">
      <c r="A24" s="9">
        <v>12000</v>
      </c>
      <c r="B24" s="10" t="s">
        <v>26</v>
      </c>
      <c r="C24" s="10" t="s">
        <v>16</v>
      </c>
      <c r="D24" s="25" t="str">
        <f t="shared" si="0"/>
        <v>Fourniture et pose de 20 ML de glissière y compris écarteurs, supports et réflecteurs</v>
      </c>
      <c r="E24" s="33"/>
      <c r="F24" s="17">
        <v>20</v>
      </c>
      <c r="G24" s="28" t="s">
        <v>12</v>
      </c>
    </row>
    <row r="25" spans="1:7" s="8" customFormat="1" ht="31.5" x14ac:dyDescent="0.25">
      <c r="A25" s="9">
        <v>114500</v>
      </c>
      <c r="B25" s="10" t="s">
        <v>26</v>
      </c>
      <c r="C25" s="10" t="s">
        <v>16</v>
      </c>
      <c r="D25" s="25" t="str">
        <f t="shared" si="0"/>
        <v>Fourniture et pose de 28 ML de glissière y compris écarteurs, supports et réflecteurs</v>
      </c>
      <c r="E25" s="11"/>
      <c r="F25" s="17">
        <v>28</v>
      </c>
      <c r="G25" s="28" t="s">
        <v>12</v>
      </c>
    </row>
    <row r="26" spans="1:7" s="8" customFormat="1" ht="31.5" x14ac:dyDescent="0.25">
      <c r="A26" s="9">
        <v>115100</v>
      </c>
      <c r="B26" s="10" t="s">
        <v>26</v>
      </c>
      <c r="C26" s="10" t="s">
        <v>16</v>
      </c>
      <c r="D26" s="25" t="str">
        <f t="shared" si="0"/>
        <v>Fourniture et pose de 4 ML de glissière y compris écarteurs, supports et réflecteurs</v>
      </c>
      <c r="E26" s="11"/>
      <c r="F26" s="17">
        <v>4</v>
      </c>
      <c r="G26" s="28" t="s">
        <v>12</v>
      </c>
    </row>
    <row r="27" spans="1:7" s="8" customFormat="1" ht="31.5" x14ac:dyDescent="0.25">
      <c r="A27" s="9">
        <v>118600</v>
      </c>
      <c r="B27" s="10" t="s">
        <v>26</v>
      </c>
      <c r="C27" s="10" t="s">
        <v>16</v>
      </c>
      <c r="D27" s="25" t="str">
        <f t="shared" si="0"/>
        <v>Fourniture et pose de 24 ML de glissière y compris écarteurs, supports et réflecteurs</v>
      </c>
      <c r="E27" s="11"/>
      <c r="F27" s="17">
        <v>24</v>
      </c>
      <c r="G27" s="28" t="s">
        <v>12</v>
      </c>
    </row>
    <row r="28" spans="1:7" s="8" customFormat="1" ht="31.5" x14ac:dyDescent="0.25">
      <c r="A28" s="9">
        <v>129800</v>
      </c>
      <c r="B28" s="10" t="s">
        <v>26</v>
      </c>
      <c r="C28" s="10" t="s">
        <v>16</v>
      </c>
      <c r="D28" s="25" t="str">
        <f t="shared" si="0"/>
        <v>Fourniture et pose de 72 ML de glissière y compris écarteurs, supports et réflecteurs</v>
      </c>
      <c r="E28" s="11"/>
      <c r="F28" s="17">
        <v>72</v>
      </c>
      <c r="G28" s="28" t="s">
        <v>12</v>
      </c>
    </row>
    <row r="29" spans="1:7" s="8" customFormat="1" ht="31.5" x14ac:dyDescent="0.25">
      <c r="A29" s="9">
        <v>133000</v>
      </c>
      <c r="B29" s="10" t="s">
        <v>26</v>
      </c>
      <c r="C29" s="10" t="s">
        <v>16</v>
      </c>
      <c r="D29" s="25" t="str">
        <f t="shared" si="0"/>
        <v>Fourniture et pose de 32 ML de glissière y compris écarteurs, supports et réflecteurs</v>
      </c>
      <c r="E29" s="11"/>
      <c r="F29" s="17">
        <v>32</v>
      </c>
      <c r="G29" s="28" t="s">
        <v>12</v>
      </c>
    </row>
    <row r="30" spans="1:7" s="8" customFormat="1" ht="31.5" x14ac:dyDescent="0.25">
      <c r="A30" s="9">
        <v>141500</v>
      </c>
      <c r="B30" s="10" t="s">
        <v>26</v>
      </c>
      <c r="C30" s="10" t="s">
        <v>16</v>
      </c>
      <c r="D30" s="25" t="str">
        <f t="shared" si="0"/>
        <v>Fourniture et pose de 52 ML de glissière y compris écarteurs, supports et réflecteurs</v>
      </c>
      <c r="E30" s="11"/>
      <c r="F30" s="17">
        <v>52</v>
      </c>
      <c r="G30" s="28" t="s">
        <v>12</v>
      </c>
    </row>
    <row r="31" spans="1:7" s="8" customFormat="1" ht="31.5" x14ac:dyDescent="0.25">
      <c r="A31" s="9">
        <v>153500</v>
      </c>
      <c r="B31" s="10" t="s">
        <v>26</v>
      </c>
      <c r="C31" s="10" t="s">
        <v>16</v>
      </c>
      <c r="D31" s="25" t="str">
        <f t="shared" si="0"/>
        <v>Fourniture et pose de 8 ML de glissière y compris écarteurs, supports et réflecteurs</v>
      </c>
      <c r="E31" s="11"/>
      <c r="F31" s="17">
        <v>8</v>
      </c>
      <c r="G31" s="28" t="s">
        <v>12</v>
      </c>
    </row>
    <row r="32" spans="1:7" s="8" customFormat="1" x14ac:dyDescent="0.25">
      <c r="A32" s="9">
        <v>165100</v>
      </c>
      <c r="B32" s="10" t="s">
        <v>26</v>
      </c>
      <c r="C32" s="10" t="s">
        <v>16</v>
      </c>
      <c r="D32" s="25" t="s">
        <v>76</v>
      </c>
      <c r="E32" s="11"/>
      <c r="F32" s="17">
        <v>1</v>
      </c>
      <c r="G32" s="28" t="s">
        <v>77</v>
      </c>
    </row>
    <row r="33" spans="1:7" s="8" customFormat="1" x14ac:dyDescent="0.25">
      <c r="A33" s="9">
        <v>165100</v>
      </c>
      <c r="B33" s="10" t="s">
        <v>26</v>
      </c>
      <c r="C33" s="10" t="s">
        <v>16</v>
      </c>
      <c r="D33" s="34" t="s">
        <v>78</v>
      </c>
      <c r="E33" s="11"/>
      <c r="F33" s="17">
        <v>8</v>
      </c>
      <c r="G33" s="28" t="s">
        <v>12</v>
      </c>
    </row>
    <row r="34" spans="1:7" s="8" customFormat="1" ht="31.5" x14ac:dyDescent="0.25">
      <c r="A34" s="9">
        <v>175000</v>
      </c>
      <c r="B34" s="10" t="s">
        <v>26</v>
      </c>
      <c r="C34" s="10" t="s">
        <v>16</v>
      </c>
      <c r="D34" s="34" t="str">
        <f>"Fourniture et pose de "&amp;F34&amp; " ML de glissière y compris écarteurs, supports et réflecteurs"</f>
        <v>Fourniture et pose de 20 ML de glissière y compris écarteurs, supports et réflecteurs</v>
      </c>
      <c r="E34" s="11">
        <v>46176</v>
      </c>
      <c r="F34" s="17">
        <v>20</v>
      </c>
      <c r="G34" s="28" t="s">
        <v>12</v>
      </c>
    </row>
    <row r="35" spans="1:7" s="8" customFormat="1" ht="31.5" x14ac:dyDescent="0.25">
      <c r="A35" s="9">
        <v>177900</v>
      </c>
      <c r="B35" s="10" t="s">
        <v>26</v>
      </c>
      <c r="C35" s="10" t="s">
        <v>16</v>
      </c>
      <c r="D35" s="25" t="str">
        <f>"Fourniture et pose de "&amp;F35&amp; " ML de glissière y compris écarteurs, supports et réflecteurs"</f>
        <v>Fourniture et pose de 32 ML de glissière y compris écarteurs, supports et réflecteurs</v>
      </c>
      <c r="E35" s="11"/>
      <c r="F35" s="17">
        <v>32</v>
      </c>
      <c r="G35" s="28" t="s">
        <v>12</v>
      </c>
    </row>
    <row r="36" spans="1:7" s="8" customFormat="1" ht="31.5" x14ac:dyDescent="0.25">
      <c r="A36" s="9">
        <v>182000</v>
      </c>
      <c r="B36" s="10" t="s">
        <v>26</v>
      </c>
      <c r="C36" s="10" t="s">
        <v>16</v>
      </c>
      <c r="D36" s="25" t="str">
        <f>"Fourniture et pose de "&amp;F36&amp; " ML de glissière y compris écarteurs, supports et réflecteurs"</f>
        <v>Fourniture et pose de 48 ML de glissière y compris écarteurs, supports et réflecteurs</v>
      </c>
      <c r="E36" s="11"/>
      <c r="F36" s="17">
        <v>48</v>
      </c>
      <c r="G36" s="28" t="s">
        <v>12</v>
      </c>
    </row>
    <row r="37" spans="1:7" s="8" customFormat="1" ht="31.5" x14ac:dyDescent="0.25">
      <c r="A37" s="9">
        <v>192800</v>
      </c>
      <c r="B37" s="10" t="s">
        <v>26</v>
      </c>
      <c r="C37" s="10" t="s">
        <v>16</v>
      </c>
      <c r="D37" s="25" t="str">
        <f>"Fourniture et pose de "&amp;F37&amp; " ML de glissière y compris écarteurs, supports et réflecteurs"</f>
        <v>Fourniture et pose de 36 ML de glissière y compris écarteurs, supports et réflecteurs</v>
      </c>
      <c r="E37" s="11"/>
      <c r="F37" s="17">
        <v>36</v>
      </c>
      <c r="G37" s="28" t="s">
        <v>12</v>
      </c>
    </row>
    <row r="38" spans="1:7" s="8" customFormat="1" ht="31.5" x14ac:dyDescent="0.25">
      <c r="A38" s="9">
        <v>193050</v>
      </c>
      <c r="B38" s="10" t="s">
        <v>26</v>
      </c>
      <c r="C38" s="10" t="s">
        <v>16</v>
      </c>
      <c r="D38" s="25" t="str">
        <f>"Fourniture et pose de "&amp;F38&amp; " ML de glissière y compris écarteurs, supports et réflecteurs"</f>
        <v>Fourniture et pose de 24 ML de glissière y compris écarteurs, supports et réflecteurs</v>
      </c>
      <c r="E38" s="11"/>
      <c r="F38" s="17">
        <v>24</v>
      </c>
      <c r="G38" s="28" t="s">
        <v>12</v>
      </c>
    </row>
    <row r="39" spans="1:7" s="8" customFormat="1" x14ac:dyDescent="0.25">
      <c r="A39" s="9">
        <v>194000</v>
      </c>
      <c r="B39" s="10" t="s">
        <v>26</v>
      </c>
      <c r="C39" s="10" t="s">
        <v>79</v>
      </c>
      <c r="D39" s="25" t="s">
        <v>80</v>
      </c>
      <c r="E39" s="11"/>
      <c r="F39" s="17">
        <v>1</v>
      </c>
      <c r="G39" s="28" t="s">
        <v>81</v>
      </c>
    </row>
    <row r="40" spans="1:7" s="8" customFormat="1" ht="31.5" x14ac:dyDescent="0.25">
      <c r="A40" s="9">
        <v>197920</v>
      </c>
      <c r="B40" s="10" t="s">
        <v>26</v>
      </c>
      <c r="C40" s="10" t="s">
        <v>16</v>
      </c>
      <c r="D40" s="25" t="str">
        <f>"Fourniture et pose de "&amp;F40&amp; " ML de glissière y compris écarteurs, supports et réflecteurs"</f>
        <v>Fourniture et pose de 8 ML de glissière y compris écarteurs, supports et réflecteurs</v>
      </c>
      <c r="E40" s="11">
        <v>46154</v>
      </c>
      <c r="F40" s="17">
        <v>8</v>
      </c>
      <c r="G40" s="28" t="s">
        <v>12</v>
      </c>
    </row>
    <row r="41" spans="1:7" s="8" customFormat="1" ht="31.5" x14ac:dyDescent="0.25">
      <c r="A41" s="9">
        <v>198500</v>
      </c>
      <c r="B41" s="10" t="s">
        <v>26</v>
      </c>
      <c r="C41" s="10" t="s">
        <v>16</v>
      </c>
      <c r="D41" s="25" t="str">
        <f>"Fourniture et pose de "&amp;F41&amp; " ML de glissière y compris écarteurs, supports et réflecteurs"</f>
        <v>Fourniture et pose de 8 ML de glissière y compris écarteurs, supports et réflecteurs</v>
      </c>
      <c r="E41" s="11">
        <v>46123</v>
      </c>
      <c r="F41" s="17">
        <v>8</v>
      </c>
      <c r="G41" s="28" t="s">
        <v>12</v>
      </c>
    </row>
    <row r="42" spans="1:7" s="8" customFormat="1" ht="31.5" x14ac:dyDescent="0.25">
      <c r="A42" s="9">
        <v>1800</v>
      </c>
      <c r="B42" s="10" t="s">
        <v>22</v>
      </c>
      <c r="C42" s="10" t="s">
        <v>16</v>
      </c>
      <c r="D42" s="25" t="str">
        <f>"Fourniture et pose de "&amp;F42&amp; " ML de glissière y compris écarteurs, supports et réflecteurs"</f>
        <v>Fourniture et pose de 16 ML de glissière y compris écarteurs, supports et réflecteurs</v>
      </c>
      <c r="E42" s="11"/>
      <c r="F42" s="17">
        <v>16</v>
      </c>
      <c r="G42" s="28" t="s">
        <v>12</v>
      </c>
    </row>
    <row r="43" spans="1:7" s="8" customFormat="1" ht="31.5" x14ac:dyDescent="0.25">
      <c r="A43" s="9">
        <v>5400</v>
      </c>
      <c r="B43" s="10" t="s">
        <v>22</v>
      </c>
      <c r="C43" s="10" t="s">
        <v>16</v>
      </c>
      <c r="D43" s="25" t="str">
        <f>"Fourniture et pose de "&amp;F43&amp; " ML de glissière y compris écarteurs, supports et réflecteurs"</f>
        <v>Fourniture et pose de 40 ML de glissière y compris écarteurs, supports et réflecteurs</v>
      </c>
      <c r="E43" s="11"/>
      <c r="F43" s="17">
        <v>40</v>
      </c>
      <c r="G43" s="28" t="s">
        <v>12</v>
      </c>
    </row>
    <row r="44" spans="1:7" s="8" customFormat="1" x14ac:dyDescent="0.25">
      <c r="A44" s="9">
        <v>13700</v>
      </c>
      <c r="B44" s="10" t="s">
        <v>22</v>
      </c>
      <c r="C44" s="10" t="s">
        <v>16</v>
      </c>
      <c r="D44" s="25" t="s">
        <v>82</v>
      </c>
      <c r="E44" s="11"/>
      <c r="F44" s="17">
        <v>1</v>
      </c>
      <c r="G44" s="28" t="s">
        <v>81</v>
      </c>
    </row>
    <row r="45" spans="1:7" s="8" customFormat="1" ht="31.5" x14ac:dyDescent="0.25">
      <c r="A45" s="9">
        <v>129500</v>
      </c>
      <c r="B45" s="10" t="s">
        <v>22</v>
      </c>
      <c r="C45" s="10" t="s">
        <v>16</v>
      </c>
      <c r="D45" s="25" t="str">
        <f>"Fourniture et pose de "&amp;F45&amp; " ML de glissière y compris écarteurs, supports et réflecteurs"</f>
        <v>Fourniture et pose de 12 ML de glissière y compris écarteurs, supports et réflecteurs</v>
      </c>
      <c r="E45" s="11" t="s">
        <v>32</v>
      </c>
      <c r="F45" s="17">
        <v>12</v>
      </c>
      <c r="G45" s="28" t="s">
        <v>12</v>
      </c>
    </row>
    <row r="46" spans="1:7" s="8" customFormat="1" x14ac:dyDescent="0.25">
      <c r="A46" s="9">
        <v>133000</v>
      </c>
      <c r="B46" s="10" t="s">
        <v>22</v>
      </c>
      <c r="C46" s="10" t="s">
        <v>16</v>
      </c>
      <c r="D46" s="25" t="s">
        <v>31</v>
      </c>
      <c r="E46" s="11"/>
      <c r="F46" s="17">
        <v>4</v>
      </c>
      <c r="G46" s="28" t="s">
        <v>12</v>
      </c>
    </row>
    <row r="47" spans="1:7" s="8" customFormat="1" ht="31.5" x14ac:dyDescent="0.25">
      <c r="A47" s="9">
        <v>133450</v>
      </c>
      <c r="B47" s="10" t="s">
        <v>22</v>
      </c>
      <c r="C47" s="10" t="s">
        <v>16</v>
      </c>
      <c r="D47" s="25" t="str">
        <f t="shared" ref="D47:D52" si="1">"Fourniture et pose de "&amp;F47&amp; " ML de glissière y compris écarteurs, supports et réflecteurs"</f>
        <v>Fourniture et pose de 20 ML de glissière y compris écarteurs, supports et réflecteurs</v>
      </c>
      <c r="E47" s="11"/>
      <c r="F47" s="17">
        <v>20</v>
      </c>
      <c r="G47" s="28" t="s">
        <v>12</v>
      </c>
    </row>
    <row r="48" spans="1:7" ht="31.5" x14ac:dyDescent="0.25">
      <c r="A48" s="9">
        <v>134600</v>
      </c>
      <c r="B48" s="10" t="s">
        <v>22</v>
      </c>
      <c r="C48" s="10" t="s">
        <v>16</v>
      </c>
      <c r="D48" s="25" t="str">
        <f t="shared" si="1"/>
        <v>Fourniture et pose de 80 ML de glissière y compris écarteurs, supports et réflecteurs</v>
      </c>
      <c r="E48" s="11"/>
      <c r="F48" s="17">
        <v>80</v>
      </c>
      <c r="G48" s="28" t="s">
        <v>12</v>
      </c>
    </row>
    <row r="49" spans="1:7" ht="31.5" x14ac:dyDescent="0.25">
      <c r="A49" s="9">
        <v>136500</v>
      </c>
      <c r="B49" s="10" t="s">
        <v>22</v>
      </c>
      <c r="C49" s="10" t="s">
        <v>16</v>
      </c>
      <c r="D49" s="25" t="str">
        <f t="shared" si="1"/>
        <v>Fourniture et pose de 8 ML de glissière y compris écarteurs, supports et réflecteurs</v>
      </c>
      <c r="E49" s="11"/>
      <c r="F49" s="17">
        <v>8</v>
      </c>
      <c r="G49" s="28" t="s">
        <v>12</v>
      </c>
    </row>
    <row r="50" spans="1:7" ht="31.5" x14ac:dyDescent="0.25">
      <c r="A50" s="9">
        <v>153400</v>
      </c>
      <c r="B50" s="10" t="s">
        <v>22</v>
      </c>
      <c r="C50" s="10" t="s">
        <v>16</v>
      </c>
      <c r="D50" s="25" t="str">
        <f t="shared" si="1"/>
        <v>Fourniture et pose de 28 ML de glissière y compris écarteurs, supports et réflecteurs</v>
      </c>
      <c r="E50" s="11"/>
      <c r="F50" s="17">
        <v>28</v>
      </c>
      <c r="G50" s="28" t="s">
        <v>12</v>
      </c>
    </row>
    <row r="51" spans="1:7" ht="31.5" x14ac:dyDescent="0.25">
      <c r="A51" s="9">
        <v>156100</v>
      </c>
      <c r="B51" s="10" t="s">
        <v>22</v>
      </c>
      <c r="C51" s="10" t="s">
        <v>16</v>
      </c>
      <c r="D51" s="34" t="str">
        <f t="shared" si="1"/>
        <v>Fourniture et pose de 20 ML de glissière y compris écarteurs, supports et réflecteurs</v>
      </c>
      <c r="E51" s="11"/>
      <c r="F51" s="17">
        <v>20</v>
      </c>
      <c r="G51" s="28" t="s">
        <v>12</v>
      </c>
    </row>
    <row r="52" spans="1:7" ht="31.5" x14ac:dyDescent="0.25">
      <c r="A52" s="9">
        <v>159400</v>
      </c>
      <c r="B52" s="10" t="s">
        <v>22</v>
      </c>
      <c r="C52" s="10" t="s">
        <v>16</v>
      </c>
      <c r="D52" s="25" t="str">
        <f t="shared" si="1"/>
        <v>Fourniture et pose de 4 ML de glissière y compris écarteurs, supports et réflecteurs</v>
      </c>
      <c r="E52" s="11"/>
      <c r="F52" s="17">
        <v>4</v>
      </c>
      <c r="G52" s="28" t="s">
        <v>12</v>
      </c>
    </row>
    <row r="53" spans="1:7" x14ac:dyDescent="0.25">
      <c r="A53" s="9">
        <v>160000</v>
      </c>
      <c r="B53" s="10" t="s">
        <v>22</v>
      </c>
      <c r="C53" s="10" t="s">
        <v>16</v>
      </c>
      <c r="D53" s="25" t="s">
        <v>83</v>
      </c>
      <c r="E53" s="11" t="s">
        <v>84</v>
      </c>
      <c r="F53" s="17">
        <v>1</v>
      </c>
      <c r="G53" s="28" t="s">
        <v>81</v>
      </c>
    </row>
    <row r="54" spans="1:7" x14ac:dyDescent="0.25">
      <c r="A54" s="9">
        <v>160000</v>
      </c>
      <c r="B54" s="10" t="s">
        <v>22</v>
      </c>
      <c r="C54" s="10" t="s">
        <v>16</v>
      </c>
      <c r="D54" s="34" t="s">
        <v>85</v>
      </c>
      <c r="E54" s="11" t="s">
        <v>86</v>
      </c>
      <c r="F54" s="17">
        <v>1</v>
      </c>
      <c r="G54" s="28" t="s">
        <v>81</v>
      </c>
    </row>
    <row r="55" spans="1:7" x14ac:dyDescent="0.25">
      <c r="A55" s="9">
        <v>160000</v>
      </c>
      <c r="B55" s="10" t="s">
        <v>22</v>
      </c>
      <c r="C55" s="10" t="s">
        <v>16</v>
      </c>
      <c r="D55" s="34" t="s">
        <v>85</v>
      </c>
      <c r="E55" s="11" t="s">
        <v>86</v>
      </c>
      <c r="F55" s="17">
        <v>1</v>
      </c>
      <c r="G55" s="28" t="s">
        <v>81</v>
      </c>
    </row>
    <row r="56" spans="1:7" ht="31.5" x14ac:dyDescent="0.25">
      <c r="A56" s="9">
        <v>168400</v>
      </c>
      <c r="B56" s="10" t="s">
        <v>22</v>
      </c>
      <c r="C56" s="10" t="s">
        <v>16</v>
      </c>
      <c r="D56" s="25" t="str">
        <f t="shared" ref="D56:D61" si="2">"Fourniture et pose de "&amp;F56&amp; " ML de glissière y compris écarteurs, supports et réflecteurs"</f>
        <v>Fourniture et pose de 8 ML de glissière y compris écarteurs, supports et réflecteurs</v>
      </c>
      <c r="E56" s="11">
        <v>46155</v>
      </c>
      <c r="F56" s="17">
        <v>8</v>
      </c>
      <c r="G56" s="28" t="s">
        <v>12</v>
      </c>
    </row>
    <row r="57" spans="1:7" ht="31.5" x14ac:dyDescent="0.25">
      <c r="A57" s="9">
        <v>177600</v>
      </c>
      <c r="B57" s="10" t="s">
        <v>22</v>
      </c>
      <c r="C57" s="10" t="s">
        <v>16</v>
      </c>
      <c r="D57" s="25" t="str">
        <f t="shared" si="2"/>
        <v>Fourniture et pose de 12 ML de glissière y compris écarteurs, supports et réflecteurs</v>
      </c>
      <c r="E57" s="33"/>
      <c r="F57" s="17">
        <v>12</v>
      </c>
      <c r="G57" s="28" t="s">
        <v>12</v>
      </c>
    </row>
    <row r="58" spans="1:7" ht="31.5" x14ac:dyDescent="0.25">
      <c r="A58" s="9">
        <v>179700</v>
      </c>
      <c r="B58" s="10" t="s">
        <v>22</v>
      </c>
      <c r="C58" s="10" t="s">
        <v>16</v>
      </c>
      <c r="D58" s="25" t="str">
        <f t="shared" si="2"/>
        <v>Fourniture et pose de 4 ML de glissière y compris écarteurs, supports et réflecteurs</v>
      </c>
      <c r="E58" s="11"/>
      <c r="F58" s="17">
        <v>4</v>
      </c>
      <c r="G58" s="28" t="s">
        <v>12</v>
      </c>
    </row>
    <row r="59" spans="1:7" ht="31.5" x14ac:dyDescent="0.25">
      <c r="A59" s="9">
        <v>180500</v>
      </c>
      <c r="B59" s="10" t="s">
        <v>22</v>
      </c>
      <c r="C59" s="10" t="s">
        <v>16</v>
      </c>
      <c r="D59" s="34" t="str">
        <f t="shared" si="2"/>
        <v>Fourniture et pose de 48 ML de glissière y compris écarteurs, supports et réflecteurs</v>
      </c>
      <c r="E59" s="11"/>
      <c r="F59" s="17">
        <v>48</v>
      </c>
      <c r="G59" s="28" t="s">
        <v>12</v>
      </c>
    </row>
    <row r="60" spans="1:7" ht="31.5" x14ac:dyDescent="0.25">
      <c r="A60" s="9">
        <v>182400</v>
      </c>
      <c r="B60" s="10" t="s">
        <v>22</v>
      </c>
      <c r="C60" s="10" t="s">
        <v>16</v>
      </c>
      <c r="D60" s="25" t="str">
        <f t="shared" si="2"/>
        <v>Fourniture et pose de 32 ML de glissière y compris écarteurs, supports et réflecteurs</v>
      </c>
      <c r="E60" s="11"/>
      <c r="F60" s="17">
        <v>32</v>
      </c>
      <c r="G60" s="28" t="s">
        <v>12</v>
      </c>
    </row>
    <row r="61" spans="1:7" ht="31.5" x14ac:dyDescent="0.25">
      <c r="A61" s="9">
        <v>188000</v>
      </c>
      <c r="B61" s="10" t="s">
        <v>22</v>
      </c>
      <c r="C61" s="10" t="s">
        <v>16</v>
      </c>
      <c r="D61" s="25" t="str">
        <f t="shared" si="2"/>
        <v>Fourniture et pose de 28 ML de glissière y compris écarteurs, supports et réflecteurs</v>
      </c>
      <c r="E61" s="11">
        <v>46178</v>
      </c>
      <c r="F61" s="17">
        <v>28</v>
      </c>
      <c r="G61" s="28"/>
    </row>
    <row r="62" spans="1:7" x14ac:dyDescent="0.25">
      <c r="A62" s="9">
        <v>194000</v>
      </c>
      <c r="B62" s="10" t="s">
        <v>22</v>
      </c>
      <c r="C62" s="10" t="s">
        <v>16</v>
      </c>
      <c r="D62" s="25" t="s">
        <v>87</v>
      </c>
      <c r="E62" s="11"/>
      <c r="F62" s="17">
        <v>1</v>
      </c>
      <c r="G62" s="28" t="s">
        <v>81</v>
      </c>
    </row>
    <row r="63" spans="1:7" x14ac:dyDescent="0.25">
      <c r="A63" s="9">
        <v>194000</v>
      </c>
      <c r="B63" s="10" t="s">
        <v>22</v>
      </c>
      <c r="C63" s="10" t="s">
        <v>79</v>
      </c>
      <c r="D63" s="25" t="s">
        <v>30</v>
      </c>
      <c r="E63" s="11"/>
      <c r="F63" s="17">
        <v>1</v>
      </c>
      <c r="G63" s="28" t="s">
        <v>211</v>
      </c>
    </row>
    <row r="64" spans="1:7" ht="31.5" x14ac:dyDescent="0.25">
      <c r="A64" s="9">
        <v>196400</v>
      </c>
      <c r="B64" s="10" t="s">
        <v>22</v>
      </c>
      <c r="C64" s="10" t="s">
        <v>16</v>
      </c>
      <c r="D64" s="25" t="str">
        <f>"Fourniture et pose de "&amp;F64&amp; " ML de glissière y compris écarteurs, supports et réflecteurs"</f>
        <v>Fourniture et pose de 44 ML de glissière y compris écarteurs, supports et réflecteurs</v>
      </c>
      <c r="E64" s="11"/>
      <c r="F64" s="17">
        <v>44</v>
      </c>
      <c r="G64" s="28" t="s">
        <v>12</v>
      </c>
    </row>
    <row r="65" spans="1:7" ht="31.5" x14ac:dyDescent="0.25">
      <c r="A65" s="9">
        <v>197980</v>
      </c>
      <c r="B65" s="10" t="s">
        <v>88</v>
      </c>
      <c r="C65" s="10" t="s">
        <v>17</v>
      </c>
      <c r="D65" s="25" t="str">
        <f>"Fourniture et pose de "&amp;F65&amp; " ML de glissière y compris écarteurs, supports et réflecteurs"</f>
        <v>Fourniture et pose de 44 ML de glissière y compris écarteurs, supports et réflecteurs</v>
      </c>
      <c r="E65" s="11">
        <v>46161</v>
      </c>
      <c r="F65" s="17">
        <v>44</v>
      </c>
      <c r="G65" s="28" t="s">
        <v>12</v>
      </c>
    </row>
    <row r="66" spans="1:7" x14ac:dyDescent="0.25">
      <c r="A66" s="44" t="s">
        <v>14</v>
      </c>
      <c r="B66" s="45"/>
      <c r="C66" s="46"/>
      <c r="D66" s="46"/>
      <c r="E66" s="47"/>
      <c r="F66" s="17"/>
      <c r="G66" s="28" t="s">
        <v>12</v>
      </c>
    </row>
    <row r="67" spans="1:7" s="8" customFormat="1" ht="31.5" x14ac:dyDescent="0.25">
      <c r="A67" s="19">
        <v>208590</v>
      </c>
      <c r="B67" s="21" t="s">
        <v>23</v>
      </c>
      <c r="C67" s="21" t="s">
        <v>16</v>
      </c>
      <c r="D67" s="23" t="str">
        <f t="shared" ref="D67:D72" si="3">"Fourniture et pose de "&amp;F67&amp; " ML de glissière y compris écarteurs, supports et réflecteurs"</f>
        <v>Fourniture et pose de 24 ML de glissière y compris écarteurs, supports et réflecteurs</v>
      </c>
      <c r="E67" s="27"/>
      <c r="F67" s="17">
        <v>24</v>
      </c>
      <c r="G67" s="28" t="s">
        <v>12</v>
      </c>
    </row>
    <row r="68" spans="1:7" ht="31.5" x14ac:dyDescent="0.25">
      <c r="A68" s="19">
        <v>214600</v>
      </c>
      <c r="B68" s="20" t="s">
        <v>23</v>
      </c>
      <c r="C68" s="21" t="s">
        <v>16</v>
      </c>
      <c r="D68" s="23" t="str">
        <f t="shared" si="3"/>
        <v>Fourniture et pose de 12 ML de glissière y compris écarteurs, supports et réflecteurs</v>
      </c>
      <c r="E68" s="35" t="s">
        <v>89</v>
      </c>
      <c r="F68" s="17">
        <v>12</v>
      </c>
      <c r="G68" s="28" t="s">
        <v>12</v>
      </c>
    </row>
    <row r="69" spans="1:7" ht="31.5" x14ac:dyDescent="0.25">
      <c r="A69" s="19">
        <v>221800</v>
      </c>
      <c r="B69" s="20" t="s">
        <v>23</v>
      </c>
      <c r="C69" s="21" t="s">
        <v>16</v>
      </c>
      <c r="D69" s="23" t="str">
        <f t="shared" si="3"/>
        <v>Fourniture et pose de 28 ML de glissière y compris écarteurs, supports et réflecteurs</v>
      </c>
      <c r="E69" s="27"/>
      <c r="F69" s="17">
        <v>28</v>
      </c>
      <c r="G69" s="28" t="s">
        <v>12</v>
      </c>
    </row>
    <row r="70" spans="1:7" ht="31.5" x14ac:dyDescent="0.25">
      <c r="A70" s="19">
        <v>222800</v>
      </c>
      <c r="B70" s="20" t="s">
        <v>23</v>
      </c>
      <c r="C70" s="21" t="s">
        <v>16</v>
      </c>
      <c r="D70" s="23" t="str">
        <f t="shared" si="3"/>
        <v>Fourniture et pose de 24 ML de glissière y compris écarteurs, supports et réflecteurs</v>
      </c>
      <c r="E70" s="27"/>
      <c r="F70" s="17">
        <v>24</v>
      </c>
      <c r="G70" s="28" t="s">
        <v>12</v>
      </c>
    </row>
    <row r="71" spans="1:7" ht="31.5" x14ac:dyDescent="0.25">
      <c r="A71" s="19">
        <v>224000</v>
      </c>
      <c r="B71" s="20" t="s">
        <v>23</v>
      </c>
      <c r="C71" s="21" t="s">
        <v>16</v>
      </c>
      <c r="D71" s="23" t="str">
        <f t="shared" si="3"/>
        <v>Fourniture et pose de 200 ML de glissière y compris écarteurs, supports et réflecteurs</v>
      </c>
      <c r="E71" s="27" t="s">
        <v>90</v>
      </c>
      <c r="F71" s="17">
        <v>200</v>
      </c>
      <c r="G71" s="28" t="s">
        <v>12</v>
      </c>
    </row>
    <row r="72" spans="1:7" ht="31.5" x14ac:dyDescent="0.25">
      <c r="A72" s="19">
        <v>225900</v>
      </c>
      <c r="B72" s="20" t="s">
        <v>23</v>
      </c>
      <c r="C72" s="21" t="s">
        <v>16</v>
      </c>
      <c r="D72" s="23" t="str">
        <f t="shared" si="3"/>
        <v>Fourniture et pose de 8 ML de glissière y compris écarteurs, supports et réflecteurs</v>
      </c>
      <c r="E72" s="27"/>
      <c r="F72" s="17">
        <v>8</v>
      </c>
      <c r="G72" s="28" t="s">
        <v>12</v>
      </c>
    </row>
    <row r="73" spans="1:7" x14ac:dyDescent="0.25">
      <c r="A73" s="19">
        <v>226000</v>
      </c>
      <c r="B73" s="20" t="s">
        <v>23</v>
      </c>
      <c r="C73" s="21" t="s">
        <v>16</v>
      </c>
      <c r="D73" s="36" t="s">
        <v>91</v>
      </c>
      <c r="E73" s="24"/>
      <c r="F73" s="17">
        <v>1</v>
      </c>
      <c r="G73" s="28" t="s">
        <v>12</v>
      </c>
    </row>
    <row r="74" spans="1:7" ht="31.5" x14ac:dyDescent="0.25">
      <c r="A74" s="19">
        <v>226200</v>
      </c>
      <c r="B74" s="20" t="s">
        <v>23</v>
      </c>
      <c r="C74" s="21" t="s">
        <v>16</v>
      </c>
      <c r="D74" s="23" t="str">
        <f>"Fourniture et pose de "&amp;F74&amp; " ML de glissière y compris écarteurs, supports et réflecteurs"</f>
        <v>Fourniture et pose de 20 ML de glissière y compris écarteurs, supports et réflecteurs</v>
      </c>
      <c r="E74" s="35" t="s">
        <v>92</v>
      </c>
      <c r="F74" s="17">
        <v>20</v>
      </c>
      <c r="G74" s="28" t="s">
        <v>12</v>
      </c>
    </row>
    <row r="75" spans="1:7" x14ac:dyDescent="0.25">
      <c r="A75" s="19">
        <v>227000</v>
      </c>
      <c r="B75" s="20" t="s">
        <v>23</v>
      </c>
      <c r="C75" s="21" t="s">
        <v>79</v>
      </c>
      <c r="D75" s="23" t="s">
        <v>93</v>
      </c>
      <c r="E75" s="22" t="s">
        <v>94</v>
      </c>
      <c r="F75" s="17">
        <v>1</v>
      </c>
      <c r="G75" s="28" t="s">
        <v>12</v>
      </c>
    </row>
    <row r="76" spans="1:7" x14ac:dyDescent="0.25">
      <c r="A76" s="19">
        <v>232000</v>
      </c>
      <c r="B76" s="20" t="s">
        <v>23</v>
      </c>
      <c r="C76" s="21" t="s">
        <v>16</v>
      </c>
      <c r="D76" s="34" t="s">
        <v>95</v>
      </c>
      <c r="E76" s="24"/>
      <c r="F76" s="17">
        <v>1</v>
      </c>
      <c r="G76" s="28" t="s">
        <v>12</v>
      </c>
    </row>
    <row r="77" spans="1:7" x14ac:dyDescent="0.25">
      <c r="A77" s="19">
        <v>232000</v>
      </c>
      <c r="B77" s="21" t="s">
        <v>23</v>
      </c>
      <c r="C77" s="21" t="s">
        <v>96</v>
      </c>
      <c r="D77" s="23" t="s">
        <v>97</v>
      </c>
      <c r="E77" s="27" t="s">
        <v>98</v>
      </c>
      <c r="F77" s="17">
        <v>1</v>
      </c>
      <c r="G77" s="28" t="s">
        <v>12</v>
      </c>
    </row>
    <row r="78" spans="1:7" x14ac:dyDescent="0.25">
      <c r="A78" s="9">
        <v>248000</v>
      </c>
      <c r="B78" s="10" t="s">
        <v>23</v>
      </c>
      <c r="C78" s="10" t="s">
        <v>16</v>
      </c>
      <c r="D78" s="34" t="s">
        <v>99</v>
      </c>
      <c r="E78" s="33" t="s">
        <v>100</v>
      </c>
      <c r="F78" s="17">
        <v>1</v>
      </c>
      <c r="G78" s="28" t="s">
        <v>67</v>
      </c>
    </row>
    <row r="79" spans="1:7" ht="31.5" x14ac:dyDescent="0.25">
      <c r="A79" s="9">
        <v>257100</v>
      </c>
      <c r="B79" s="10" t="s">
        <v>23</v>
      </c>
      <c r="C79" s="10" t="s">
        <v>16</v>
      </c>
      <c r="D79" s="34" t="str">
        <f>"Fourniture et pose de "&amp;F79&amp; " ML de glissière y compris écarteurs, supports et réflecteurs"</f>
        <v>Fourniture et pose de 36 ML de glissière y compris écarteurs, supports et réflecteurs</v>
      </c>
      <c r="E79" s="11"/>
      <c r="F79" s="17">
        <v>36</v>
      </c>
      <c r="G79" s="28" t="s">
        <v>101</v>
      </c>
    </row>
    <row r="80" spans="1:7" x14ac:dyDescent="0.25">
      <c r="A80" s="9">
        <v>266200</v>
      </c>
      <c r="B80" s="10" t="s">
        <v>23</v>
      </c>
      <c r="C80" s="10" t="s">
        <v>18</v>
      </c>
      <c r="D80" s="34" t="s">
        <v>102</v>
      </c>
      <c r="E80" s="11"/>
      <c r="F80" s="17">
        <v>1</v>
      </c>
      <c r="G80" s="28" t="s">
        <v>12</v>
      </c>
    </row>
    <row r="81" spans="1:7" x14ac:dyDescent="0.25">
      <c r="A81" s="9">
        <v>273100</v>
      </c>
      <c r="B81" s="10" t="s">
        <v>23</v>
      </c>
      <c r="C81" s="10" t="s">
        <v>16</v>
      </c>
      <c r="D81" s="34" t="s">
        <v>103</v>
      </c>
      <c r="E81" s="33"/>
      <c r="F81" s="17">
        <v>1</v>
      </c>
      <c r="G81" s="28" t="s">
        <v>104</v>
      </c>
    </row>
    <row r="82" spans="1:7" x14ac:dyDescent="0.25">
      <c r="A82" s="19">
        <v>202000</v>
      </c>
      <c r="B82" s="37" t="s">
        <v>24</v>
      </c>
      <c r="C82" s="21" t="s">
        <v>16</v>
      </c>
      <c r="D82" s="36" t="s">
        <v>91</v>
      </c>
      <c r="E82" s="27"/>
      <c r="F82" s="17">
        <v>1</v>
      </c>
      <c r="G82" s="28" t="s">
        <v>12</v>
      </c>
    </row>
    <row r="83" spans="1:7" ht="31.5" x14ac:dyDescent="0.25">
      <c r="A83" s="19">
        <v>204200</v>
      </c>
      <c r="B83" s="37" t="s">
        <v>24</v>
      </c>
      <c r="C83" s="21" t="s">
        <v>16</v>
      </c>
      <c r="D83" s="23" t="str">
        <f>"Fourniture et pose de "&amp;F83&amp; " ML de glissière y compris écarteurs, supports et réflecteurs"</f>
        <v>Fourniture et pose de 8 ML de glissière y compris écarteurs, supports et réflecteurs</v>
      </c>
      <c r="E83" s="27"/>
      <c r="F83" s="17">
        <v>8</v>
      </c>
      <c r="G83" s="28" t="s">
        <v>12</v>
      </c>
    </row>
    <row r="84" spans="1:7" ht="31.5" x14ac:dyDescent="0.25">
      <c r="A84" s="19">
        <v>215060</v>
      </c>
      <c r="B84" s="37" t="s">
        <v>24</v>
      </c>
      <c r="C84" s="21" t="s">
        <v>16</v>
      </c>
      <c r="D84" s="23" t="str">
        <f>"Fourniture et pose de "&amp;F84&amp; " ML de glissière y compris écarteurs, supports et réflecteurs"</f>
        <v>Fourniture et pose de 12 ML de glissière y compris écarteurs, supports et réflecteurs</v>
      </c>
      <c r="E84" s="27" t="s">
        <v>105</v>
      </c>
      <c r="F84" s="17">
        <v>12</v>
      </c>
      <c r="G84" s="28" t="s">
        <v>12</v>
      </c>
    </row>
    <row r="85" spans="1:7" ht="31.5" x14ac:dyDescent="0.25">
      <c r="A85" s="19">
        <v>222200</v>
      </c>
      <c r="B85" s="37" t="s">
        <v>24</v>
      </c>
      <c r="C85" s="21" t="s">
        <v>16</v>
      </c>
      <c r="D85" s="23" t="str">
        <f>"Fourniture et pose de "&amp;F85&amp; " ML de glissière y compris écarteurs, supports et réflecteurs"</f>
        <v>Fourniture et pose de 16 ML de glissière y compris écarteurs, supports et réflecteurs</v>
      </c>
      <c r="E85" s="27"/>
      <c r="F85" s="17">
        <v>16</v>
      </c>
      <c r="G85" s="28" t="s">
        <v>12</v>
      </c>
    </row>
    <row r="86" spans="1:7" ht="31.5" x14ac:dyDescent="0.25">
      <c r="A86" s="19">
        <v>227000</v>
      </c>
      <c r="B86" s="38" t="s">
        <v>24</v>
      </c>
      <c r="C86" s="21" t="s">
        <v>16</v>
      </c>
      <c r="D86" s="23" t="str">
        <f>"Fourniture et pose de "&amp;F86&amp; " ML de glissière y compris écarteurs, supports et réflecteurs"</f>
        <v>Fourniture et pose de 12 ML de glissière y compris écarteurs, supports et réflecteurs</v>
      </c>
      <c r="E86" s="27"/>
      <c r="F86" s="17">
        <v>12</v>
      </c>
      <c r="G86" s="28" t="s">
        <v>12</v>
      </c>
    </row>
    <row r="87" spans="1:7" x14ac:dyDescent="0.25">
      <c r="A87" s="19">
        <v>227000</v>
      </c>
      <c r="B87" s="37" t="s">
        <v>24</v>
      </c>
      <c r="C87" s="21" t="s">
        <v>16</v>
      </c>
      <c r="D87" s="36" t="s">
        <v>91</v>
      </c>
      <c r="E87" s="27"/>
      <c r="F87" s="17">
        <v>1</v>
      </c>
      <c r="G87" s="28" t="s">
        <v>12</v>
      </c>
    </row>
    <row r="88" spans="1:7" x14ac:dyDescent="0.25">
      <c r="A88" s="19">
        <v>227900</v>
      </c>
      <c r="B88" s="37" t="s">
        <v>24</v>
      </c>
      <c r="C88" s="21" t="s">
        <v>16</v>
      </c>
      <c r="D88" s="23" t="s">
        <v>106</v>
      </c>
      <c r="E88" s="27" t="s">
        <v>107</v>
      </c>
      <c r="F88" s="17">
        <v>1</v>
      </c>
      <c r="G88" s="28" t="s">
        <v>12</v>
      </c>
    </row>
    <row r="89" spans="1:7" ht="31.5" x14ac:dyDescent="0.25">
      <c r="A89" s="19">
        <v>229800</v>
      </c>
      <c r="B89" s="37" t="s">
        <v>24</v>
      </c>
      <c r="C89" s="21" t="s">
        <v>17</v>
      </c>
      <c r="D89" s="23" t="str">
        <f>"Fourniture et pose de "&amp;F89&amp; " ML de glissière y compris écarteurs, supports et réflecteurs"</f>
        <v>Fourniture et pose de 12 ML de glissière y compris écarteurs, supports et réflecteurs</v>
      </c>
      <c r="E89" s="27"/>
      <c r="F89" s="17">
        <v>12</v>
      </c>
      <c r="G89" s="28" t="s">
        <v>12</v>
      </c>
    </row>
    <row r="90" spans="1:7" ht="31.5" x14ac:dyDescent="0.25">
      <c r="A90" s="19">
        <v>230900</v>
      </c>
      <c r="B90" s="37" t="s">
        <v>24</v>
      </c>
      <c r="C90" s="21" t="s">
        <v>16</v>
      </c>
      <c r="D90" s="23" t="str">
        <f>"Fourniture et pose de "&amp;F90&amp; " ML de glissière y compris écarteurs, supports et réflecteurs"</f>
        <v>Fourniture et pose de 8 ML de glissière y compris écarteurs, supports et réflecteurs</v>
      </c>
      <c r="E90" s="27"/>
      <c r="F90" s="17">
        <v>8</v>
      </c>
      <c r="G90" s="28" t="s">
        <v>12</v>
      </c>
    </row>
    <row r="91" spans="1:7" x14ac:dyDescent="0.25">
      <c r="A91" s="9">
        <v>234800</v>
      </c>
      <c r="B91" s="37" t="s">
        <v>24</v>
      </c>
      <c r="C91" s="10" t="s">
        <v>16</v>
      </c>
      <c r="D91" s="34" t="s">
        <v>103</v>
      </c>
      <c r="E91" s="11"/>
      <c r="F91" s="17">
        <v>1</v>
      </c>
      <c r="G91" s="28" t="s">
        <v>104</v>
      </c>
    </row>
    <row r="92" spans="1:7" ht="31.5" x14ac:dyDescent="0.25">
      <c r="A92" s="19">
        <v>247500</v>
      </c>
      <c r="B92" s="37" t="s">
        <v>24</v>
      </c>
      <c r="C92" s="21" t="s">
        <v>16</v>
      </c>
      <c r="D92" s="23" t="str">
        <f>"Fourniture et pose de "&amp;F92&amp; " ML de glissière y compris écarteurs, supports et réflecteurs"</f>
        <v>Fourniture et pose de 28 ML de glissière y compris écarteurs, supports et réflecteurs</v>
      </c>
      <c r="E92" s="27">
        <v>46166</v>
      </c>
      <c r="F92" s="17">
        <v>28</v>
      </c>
      <c r="G92" s="28" t="s">
        <v>12</v>
      </c>
    </row>
    <row r="93" spans="1:7" ht="31.5" x14ac:dyDescent="0.25">
      <c r="A93" s="19">
        <v>261200</v>
      </c>
      <c r="B93" s="37" t="s">
        <v>24</v>
      </c>
      <c r="C93" s="21" t="s">
        <v>16</v>
      </c>
      <c r="D93" s="30" t="str">
        <f>"Fourniture et pose de "&amp;F93&amp; " ML de glissière y compris écarteurs, supports et réflecteurs"</f>
        <v>Fourniture et pose de 108 ML de glissière y compris écarteurs, supports et réflecteurs</v>
      </c>
      <c r="E93" s="27">
        <v>46161</v>
      </c>
      <c r="F93" s="17">
        <v>108</v>
      </c>
      <c r="G93" s="28" t="s">
        <v>12</v>
      </c>
    </row>
    <row r="94" spans="1:7" x14ac:dyDescent="0.25">
      <c r="A94" s="9">
        <v>278000</v>
      </c>
      <c r="B94" s="37" t="s">
        <v>24</v>
      </c>
      <c r="C94" s="10" t="s">
        <v>79</v>
      </c>
      <c r="D94" s="34" t="s">
        <v>108</v>
      </c>
      <c r="E94" s="11"/>
      <c r="F94" s="17">
        <v>1</v>
      </c>
      <c r="G94" s="28" t="s">
        <v>67</v>
      </c>
    </row>
    <row r="95" spans="1:7" x14ac:dyDescent="0.25">
      <c r="A95" s="9">
        <v>278000</v>
      </c>
      <c r="B95" s="37" t="s">
        <v>24</v>
      </c>
      <c r="C95" s="10" t="s">
        <v>79</v>
      </c>
      <c r="D95" s="34" t="s">
        <v>109</v>
      </c>
      <c r="E95" s="11" t="s">
        <v>110</v>
      </c>
      <c r="F95" s="17">
        <v>1</v>
      </c>
      <c r="G95" s="28" t="s">
        <v>111</v>
      </c>
    </row>
    <row r="96" spans="1:7" x14ac:dyDescent="0.25">
      <c r="A96" s="9">
        <v>278000</v>
      </c>
      <c r="B96" s="37" t="s">
        <v>24</v>
      </c>
      <c r="C96" s="10" t="s">
        <v>79</v>
      </c>
      <c r="D96" s="34" t="s">
        <v>112</v>
      </c>
      <c r="E96" s="39" t="s">
        <v>113</v>
      </c>
      <c r="F96" s="17">
        <v>1</v>
      </c>
      <c r="G96" s="28" t="s">
        <v>81</v>
      </c>
    </row>
    <row r="97" spans="1:7" x14ac:dyDescent="0.25">
      <c r="A97" s="9">
        <v>282000</v>
      </c>
      <c r="B97" s="37" t="s">
        <v>24</v>
      </c>
      <c r="C97" s="10" t="s">
        <v>16</v>
      </c>
      <c r="D97" s="34" t="s">
        <v>114</v>
      </c>
      <c r="E97" s="11" t="s">
        <v>115</v>
      </c>
      <c r="F97" s="17">
        <v>1</v>
      </c>
      <c r="G97" s="28" t="s">
        <v>101</v>
      </c>
    </row>
    <row r="98" spans="1:7" x14ac:dyDescent="0.25">
      <c r="A98" s="48" t="s">
        <v>15</v>
      </c>
      <c r="B98" s="49"/>
      <c r="C98" s="49"/>
      <c r="D98" s="49"/>
      <c r="E98" s="50"/>
      <c r="F98" s="17"/>
      <c r="G98" s="28" t="s">
        <v>12</v>
      </c>
    </row>
    <row r="99" spans="1:7" x14ac:dyDescent="0.25">
      <c r="A99" s="19" t="s">
        <v>33</v>
      </c>
      <c r="B99" s="26" t="s">
        <v>24</v>
      </c>
      <c r="C99" s="23" t="s">
        <v>25</v>
      </c>
      <c r="D99" s="23" t="s">
        <v>116</v>
      </c>
      <c r="E99" s="27">
        <v>46052</v>
      </c>
      <c r="F99" s="17">
        <v>12</v>
      </c>
      <c r="G99" s="28" t="s">
        <v>12</v>
      </c>
    </row>
    <row r="100" spans="1:7" x14ac:dyDescent="0.25">
      <c r="A100" s="19" t="s">
        <v>34</v>
      </c>
      <c r="B100" s="26" t="s">
        <v>23</v>
      </c>
      <c r="C100" s="23" t="s">
        <v>25</v>
      </c>
      <c r="D100" s="23" t="s">
        <v>117</v>
      </c>
      <c r="E100" s="27">
        <v>46064</v>
      </c>
      <c r="F100" s="17">
        <v>8</v>
      </c>
      <c r="G100" s="28" t="s">
        <v>12</v>
      </c>
    </row>
    <row r="101" spans="1:7" x14ac:dyDescent="0.25">
      <c r="A101" s="19" t="s">
        <v>35</v>
      </c>
      <c r="B101" s="26" t="s">
        <v>24</v>
      </c>
      <c r="C101" s="23" t="s">
        <v>25</v>
      </c>
      <c r="D101" s="23" t="s">
        <v>118</v>
      </c>
      <c r="E101" s="27">
        <v>46072</v>
      </c>
      <c r="F101" s="17">
        <v>16</v>
      </c>
      <c r="G101" s="28" t="s">
        <v>12</v>
      </c>
    </row>
    <row r="102" spans="1:7" x14ac:dyDescent="0.25">
      <c r="A102" s="19" t="s">
        <v>119</v>
      </c>
      <c r="B102" s="26" t="s">
        <v>23</v>
      </c>
      <c r="C102" s="23" t="s">
        <v>25</v>
      </c>
      <c r="D102" s="23" t="s">
        <v>118</v>
      </c>
      <c r="E102" s="27">
        <v>46108</v>
      </c>
      <c r="F102" s="17">
        <v>16</v>
      </c>
      <c r="G102" s="28" t="s">
        <v>12</v>
      </c>
    </row>
    <row r="103" spans="1:7" x14ac:dyDescent="0.25">
      <c r="A103" s="19" t="s">
        <v>120</v>
      </c>
      <c r="B103" s="26" t="s">
        <v>23</v>
      </c>
      <c r="C103" s="23" t="s">
        <v>25</v>
      </c>
      <c r="D103" s="23" t="s">
        <v>121</v>
      </c>
      <c r="E103" s="27">
        <v>46115</v>
      </c>
      <c r="F103" s="17">
        <v>36</v>
      </c>
      <c r="G103" s="28" t="s">
        <v>12</v>
      </c>
    </row>
    <row r="104" spans="1:7" x14ac:dyDescent="0.25">
      <c r="A104" s="19" t="s">
        <v>122</v>
      </c>
      <c r="B104" s="26" t="s">
        <v>24</v>
      </c>
      <c r="C104" s="23" t="s">
        <v>25</v>
      </c>
      <c r="D104" s="23" t="s">
        <v>123</v>
      </c>
      <c r="E104" s="27">
        <v>46134</v>
      </c>
      <c r="F104" s="17">
        <v>28</v>
      </c>
      <c r="G104" s="28" t="s">
        <v>12</v>
      </c>
    </row>
    <row r="105" spans="1:7" x14ac:dyDescent="0.25">
      <c r="A105" s="19" t="s">
        <v>124</v>
      </c>
      <c r="B105" s="26" t="s">
        <v>23</v>
      </c>
      <c r="C105" s="23" t="s">
        <v>25</v>
      </c>
      <c r="D105" s="23" t="s">
        <v>125</v>
      </c>
      <c r="E105" s="27">
        <v>46135</v>
      </c>
      <c r="F105" s="17">
        <v>16</v>
      </c>
      <c r="G105" s="28" t="s">
        <v>12</v>
      </c>
    </row>
    <row r="106" spans="1:7" x14ac:dyDescent="0.25">
      <c r="A106" s="19" t="s">
        <v>126</v>
      </c>
      <c r="B106" s="26" t="s">
        <v>24</v>
      </c>
      <c r="C106" s="23" t="s">
        <v>25</v>
      </c>
      <c r="D106" s="23" t="s">
        <v>127</v>
      </c>
      <c r="E106" s="27">
        <v>46137</v>
      </c>
      <c r="F106" s="17">
        <v>12</v>
      </c>
      <c r="G106" s="28" t="s">
        <v>12</v>
      </c>
    </row>
    <row r="107" spans="1:7" x14ac:dyDescent="0.25">
      <c r="A107" s="19" t="s">
        <v>126</v>
      </c>
      <c r="B107" s="26" t="s">
        <v>24</v>
      </c>
      <c r="C107" s="23" t="s">
        <v>25</v>
      </c>
      <c r="D107" s="23" t="s">
        <v>128</v>
      </c>
      <c r="E107" s="27">
        <v>46137</v>
      </c>
      <c r="F107" s="17">
        <v>2</v>
      </c>
      <c r="G107" s="28" t="s">
        <v>12</v>
      </c>
    </row>
    <row r="108" spans="1:7" x14ac:dyDescent="0.25">
      <c r="A108" s="19" t="s">
        <v>129</v>
      </c>
      <c r="B108" s="26" t="s">
        <v>24</v>
      </c>
      <c r="C108" s="23" t="s">
        <v>16</v>
      </c>
      <c r="D108" s="23" t="s">
        <v>130</v>
      </c>
      <c r="E108" s="27">
        <v>46148</v>
      </c>
      <c r="F108" s="17">
        <v>8</v>
      </c>
      <c r="G108" s="28" t="s">
        <v>12</v>
      </c>
    </row>
    <row r="109" spans="1:7" x14ac:dyDescent="0.25">
      <c r="A109" s="19" t="s">
        <v>36</v>
      </c>
      <c r="B109" s="26" t="s">
        <v>23</v>
      </c>
      <c r="C109" s="23" t="s">
        <v>25</v>
      </c>
      <c r="D109" s="23" t="s">
        <v>131</v>
      </c>
      <c r="E109" s="27">
        <v>46149</v>
      </c>
      <c r="F109" s="17">
        <v>8</v>
      </c>
      <c r="G109" s="28" t="s">
        <v>12</v>
      </c>
    </row>
    <row r="110" spans="1:7" ht="31.5" x14ac:dyDescent="0.25">
      <c r="A110" s="19" t="s">
        <v>132</v>
      </c>
      <c r="B110" s="26" t="s">
        <v>24</v>
      </c>
      <c r="C110" s="23" t="s">
        <v>64</v>
      </c>
      <c r="D110" s="23" t="s">
        <v>133</v>
      </c>
      <c r="E110" s="27">
        <v>46155</v>
      </c>
      <c r="F110" s="17">
        <v>3</v>
      </c>
      <c r="G110" s="28" t="s">
        <v>12</v>
      </c>
    </row>
    <row r="111" spans="1:7" ht="31.5" x14ac:dyDescent="0.25">
      <c r="A111" s="19" t="s">
        <v>134</v>
      </c>
      <c r="B111" s="26" t="s">
        <v>24</v>
      </c>
      <c r="C111" s="23" t="s">
        <v>135</v>
      </c>
      <c r="D111" s="23" t="s">
        <v>136</v>
      </c>
      <c r="E111" s="27">
        <v>46157</v>
      </c>
      <c r="F111" s="17">
        <v>8</v>
      </c>
      <c r="G111" s="28" t="s">
        <v>12</v>
      </c>
    </row>
    <row r="112" spans="1:7" ht="31.5" x14ac:dyDescent="0.25">
      <c r="A112" s="19" t="s">
        <v>134</v>
      </c>
      <c r="B112" s="26" t="s">
        <v>24</v>
      </c>
      <c r="C112" s="23" t="s">
        <v>135</v>
      </c>
      <c r="D112" s="23" t="s">
        <v>137</v>
      </c>
      <c r="E112" s="27">
        <v>46157</v>
      </c>
      <c r="F112" s="17">
        <v>4</v>
      </c>
      <c r="G112" s="28" t="s">
        <v>12</v>
      </c>
    </row>
    <row r="113" spans="1:7" x14ac:dyDescent="0.25">
      <c r="A113" s="19" t="s">
        <v>37</v>
      </c>
      <c r="B113" s="26" t="s">
        <v>23</v>
      </c>
      <c r="C113" s="23" t="s">
        <v>16</v>
      </c>
      <c r="D113" s="23" t="s">
        <v>136</v>
      </c>
      <c r="E113" s="27">
        <v>46158</v>
      </c>
      <c r="F113" s="17">
        <v>8</v>
      </c>
      <c r="G113" s="28" t="s">
        <v>12</v>
      </c>
    </row>
    <row r="114" spans="1:7" x14ac:dyDescent="0.25">
      <c r="A114" s="19" t="s">
        <v>38</v>
      </c>
      <c r="B114" s="26" t="s">
        <v>23</v>
      </c>
      <c r="C114" s="23" t="s">
        <v>16</v>
      </c>
      <c r="D114" s="23" t="s">
        <v>131</v>
      </c>
      <c r="E114" s="27">
        <v>46163</v>
      </c>
      <c r="F114" s="17">
        <v>8</v>
      </c>
      <c r="G114" s="28" t="s">
        <v>12</v>
      </c>
    </row>
    <row r="115" spans="1:7" x14ac:dyDescent="0.25">
      <c r="A115" s="19" t="s">
        <v>138</v>
      </c>
      <c r="B115" s="26" t="s">
        <v>23</v>
      </c>
      <c r="C115" s="23" t="s">
        <v>16</v>
      </c>
      <c r="D115" s="23" t="s">
        <v>139</v>
      </c>
      <c r="E115" s="27">
        <v>46164</v>
      </c>
      <c r="F115" s="17">
        <v>8</v>
      </c>
      <c r="G115" s="28" t="s">
        <v>12</v>
      </c>
    </row>
    <row r="116" spans="1:7" x14ac:dyDescent="0.25">
      <c r="A116" s="19" t="s">
        <v>140</v>
      </c>
      <c r="B116" s="26" t="s">
        <v>23</v>
      </c>
      <c r="C116" s="23" t="s">
        <v>16</v>
      </c>
      <c r="D116" s="23" t="s">
        <v>118</v>
      </c>
      <c r="E116" s="27">
        <v>46164</v>
      </c>
      <c r="F116" s="17">
        <v>16</v>
      </c>
      <c r="G116" s="28" t="s">
        <v>12</v>
      </c>
    </row>
    <row r="117" spans="1:7" x14ac:dyDescent="0.25">
      <c r="A117" s="19" t="s">
        <v>39</v>
      </c>
      <c r="B117" s="26" t="s">
        <v>24</v>
      </c>
      <c r="C117" s="23" t="s">
        <v>16</v>
      </c>
      <c r="D117" s="23" t="s">
        <v>116</v>
      </c>
      <c r="E117" s="27">
        <v>46168</v>
      </c>
      <c r="F117" s="17">
        <v>12</v>
      </c>
      <c r="G117" s="28" t="s">
        <v>12</v>
      </c>
    </row>
    <row r="118" spans="1:7" x14ac:dyDescent="0.25">
      <c r="A118" s="19" t="s">
        <v>40</v>
      </c>
      <c r="B118" s="26" t="s">
        <v>24</v>
      </c>
      <c r="C118" s="23" t="s">
        <v>18</v>
      </c>
      <c r="D118" s="23" t="s">
        <v>141</v>
      </c>
      <c r="E118" s="27">
        <v>46172</v>
      </c>
      <c r="F118" s="17">
        <v>20</v>
      </c>
      <c r="G118" s="28" t="s">
        <v>12</v>
      </c>
    </row>
    <row r="119" spans="1:7" x14ac:dyDescent="0.25">
      <c r="A119" s="19" t="s">
        <v>41</v>
      </c>
      <c r="B119" s="26" t="s">
        <v>24</v>
      </c>
      <c r="C119" s="23" t="s">
        <v>25</v>
      </c>
      <c r="D119" s="23" t="s">
        <v>118</v>
      </c>
      <c r="E119" s="27">
        <v>46181</v>
      </c>
      <c r="F119" s="17">
        <v>16</v>
      </c>
      <c r="G119" s="28" t="s">
        <v>12</v>
      </c>
    </row>
    <row r="120" spans="1:7" ht="31.5" x14ac:dyDescent="0.25">
      <c r="A120" s="19">
        <v>282800</v>
      </c>
      <c r="B120" s="26" t="s">
        <v>24</v>
      </c>
      <c r="C120" s="23" t="s">
        <v>18</v>
      </c>
      <c r="D120" s="23" t="s">
        <v>142</v>
      </c>
      <c r="E120" s="27" t="s">
        <v>43</v>
      </c>
      <c r="F120" s="17">
        <v>24</v>
      </c>
      <c r="G120" s="28" t="s">
        <v>12</v>
      </c>
    </row>
    <row r="121" spans="1:7" ht="31.5" x14ac:dyDescent="0.25">
      <c r="A121" s="19">
        <v>283360</v>
      </c>
      <c r="B121" s="26" t="s">
        <v>24</v>
      </c>
      <c r="C121" s="23" t="s">
        <v>16</v>
      </c>
      <c r="D121" s="23" t="s">
        <v>143</v>
      </c>
      <c r="E121" s="27" t="s">
        <v>43</v>
      </c>
      <c r="F121" s="17">
        <v>16</v>
      </c>
      <c r="G121" s="28" t="s">
        <v>12</v>
      </c>
    </row>
    <row r="122" spans="1:7" x14ac:dyDescent="0.25">
      <c r="A122" s="19">
        <v>286000</v>
      </c>
      <c r="B122" s="26" t="s">
        <v>24</v>
      </c>
      <c r="C122" s="23" t="s">
        <v>16</v>
      </c>
      <c r="D122" s="23" t="s">
        <v>144</v>
      </c>
      <c r="E122" s="27" t="s">
        <v>43</v>
      </c>
      <c r="F122" s="17">
        <v>1</v>
      </c>
      <c r="G122" s="28" t="s">
        <v>214</v>
      </c>
    </row>
    <row r="123" spans="1:7" x14ac:dyDescent="0.25">
      <c r="A123" s="19">
        <v>290000</v>
      </c>
      <c r="B123" s="26" t="s">
        <v>24</v>
      </c>
      <c r="C123" s="23" t="s">
        <v>16</v>
      </c>
      <c r="D123" s="23" t="s">
        <v>144</v>
      </c>
      <c r="E123" s="27" t="s">
        <v>43</v>
      </c>
      <c r="F123" s="17">
        <v>1</v>
      </c>
      <c r="G123" s="28" t="s">
        <v>214</v>
      </c>
    </row>
    <row r="124" spans="1:7" x14ac:dyDescent="0.25">
      <c r="A124" s="19">
        <v>291800</v>
      </c>
      <c r="B124" s="26" t="s">
        <v>24</v>
      </c>
      <c r="C124" s="23" t="s">
        <v>16</v>
      </c>
      <c r="D124" s="23" t="s">
        <v>145</v>
      </c>
      <c r="E124" s="27" t="s">
        <v>43</v>
      </c>
      <c r="F124" s="17">
        <v>1</v>
      </c>
      <c r="G124" s="28" t="s">
        <v>214</v>
      </c>
    </row>
    <row r="125" spans="1:7" ht="31.5" x14ac:dyDescent="0.25">
      <c r="A125" s="19">
        <v>295500</v>
      </c>
      <c r="B125" s="26" t="s">
        <v>24</v>
      </c>
      <c r="C125" s="23" t="s">
        <v>16</v>
      </c>
      <c r="D125" s="23" t="s">
        <v>146</v>
      </c>
      <c r="E125" s="27" t="s">
        <v>43</v>
      </c>
      <c r="F125" s="17">
        <v>36</v>
      </c>
      <c r="G125" s="28" t="s">
        <v>12</v>
      </c>
    </row>
    <row r="126" spans="1:7" ht="31.5" x14ac:dyDescent="0.25">
      <c r="A126" s="19">
        <v>296090</v>
      </c>
      <c r="B126" s="26" t="s">
        <v>23</v>
      </c>
      <c r="C126" s="23" t="s">
        <v>16</v>
      </c>
      <c r="D126" s="23" t="s">
        <v>147</v>
      </c>
      <c r="E126" s="27" t="s">
        <v>43</v>
      </c>
      <c r="F126" s="17">
        <v>28</v>
      </c>
      <c r="G126" s="28" t="s">
        <v>12</v>
      </c>
    </row>
    <row r="127" spans="1:7" ht="31.5" x14ac:dyDescent="0.25">
      <c r="A127" s="19">
        <v>288300</v>
      </c>
      <c r="B127" s="26" t="s">
        <v>23</v>
      </c>
      <c r="C127" s="23" t="s">
        <v>16</v>
      </c>
      <c r="D127" s="23" t="s">
        <v>148</v>
      </c>
      <c r="E127" s="27" t="s">
        <v>43</v>
      </c>
      <c r="F127" s="17">
        <v>20</v>
      </c>
      <c r="G127" s="28" t="s">
        <v>12</v>
      </c>
    </row>
    <row r="128" spans="1:7" ht="31.5" x14ac:dyDescent="0.25">
      <c r="A128" s="19">
        <v>285800</v>
      </c>
      <c r="B128" s="26" t="s">
        <v>23</v>
      </c>
      <c r="C128" s="23" t="s">
        <v>16</v>
      </c>
      <c r="D128" s="23" t="s">
        <v>148</v>
      </c>
      <c r="E128" s="27" t="s">
        <v>43</v>
      </c>
      <c r="F128" s="17">
        <v>20</v>
      </c>
      <c r="G128" s="28" t="s">
        <v>12</v>
      </c>
    </row>
    <row r="129" spans="1:7" ht="31.5" x14ac:dyDescent="0.25">
      <c r="A129" s="19" t="s">
        <v>149</v>
      </c>
      <c r="B129" s="26" t="s">
        <v>23</v>
      </c>
      <c r="C129" s="23" t="s">
        <v>25</v>
      </c>
      <c r="D129" s="23" t="s">
        <v>150</v>
      </c>
      <c r="E129" s="27" t="s">
        <v>43</v>
      </c>
      <c r="F129" s="17">
        <v>1</v>
      </c>
      <c r="G129" s="28" t="s">
        <v>12</v>
      </c>
    </row>
    <row r="130" spans="1:7" ht="31.5" x14ac:dyDescent="0.25">
      <c r="A130" s="19" t="s">
        <v>149</v>
      </c>
      <c r="B130" s="26" t="s">
        <v>23</v>
      </c>
      <c r="C130" s="23" t="s">
        <v>25</v>
      </c>
      <c r="D130" s="23" t="s">
        <v>151</v>
      </c>
      <c r="E130" s="27" t="s">
        <v>43</v>
      </c>
      <c r="F130" s="17">
        <v>3</v>
      </c>
      <c r="G130" s="28" t="s">
        <v>12</v>
      </c>
    </row>
    <row r="131" spans="1:7" x14ac:dyDescent="0.25">
      <c r="A131" s="19" t="s">
        <v>149</v>
      </c>
      <c r="B131" s="26" t="s">
        <v>23</v>
      </c>
      <c r="C131" s="23" t="s">
        <v>25</v>
      </c>
      <c r="D131" s="23" t="s">
        <v>152</v>
      </c>
      <c r="E131" s="27" t="s">
        <v>43</v>
      </c>
      <c r="F131" s="17">
        <v>0.33</v>
      </c>
      <c r="G131" s="28" t="s">
        <v>81</v>
      </c>
    </row>
    <row r="132" spans="1:7" ht="31.5" x14ac:dyDescent="0.25">
      <c r="A132" s="19" t="s">
        <v>149</v>
      </c>
      <c r="B132" s="26" t="s">
        <v>23</v>
      </c>
      <c r="C132" s="23" t="s">
        <v>25</v>
      </c>
      <c r="D132" s="23" t="s">
        <v>153</v>
      </c>
      <c r="E132" s="27" t="s">
        <v>43</v>
      </c>
      <c r="F132" s="17">
        <v>0.5</v>
      </c>
      <c r="G132" s="28" t="s">
        <v>81</v>
      </c>
    </row>
    <row r="133" spans="1:7" x14ac:dyDescent="0.25">
      <c r="A133" s="19" t="s">
        <v>154</v>
      </c>
      <c r="B133" s="26" t="s">
        <v>23</v>
      </c>
      <c r="C133" s="23" t="s">
        <v>25</v>
      </c>
      <c r="D133" s="23" t="s">
        <v>118</v>
      </c>
      <c r="E133" s="27" t="s">
        <v>43</v>
      </c>
      <c r="F133" s="17">
        <v>16</v>
      </c>
      <c r="G133" s="28" t="s">
        <v>12</v>
      </c>
    </row>
    <row r="134" spans="1:7" x14ac:dyDescent="0.25">
      <c r="A134" s="19" t="s">
        <v>50</v>
      </c>
      <c r="B134" s="26" t="s">
        <v>24</v>
      </c>
      <c r="C134" s="23" t="s">
        <v>16</v>
      </c>
      <c r="D134" s="23" t="s">
        <v>155</v>
      </c>
      <c r="E134" s="27" t="s">
        <v>43</v>
      </c>
      <c r="F134" s="17">
        <v>48</v>
      </c>
      <c r="G134" s="28" t="s">
        <v>12</v>
      </c>
    </row>
    <row r="135" spans="1:7" ht="31.5" x14ac:dyDescent="0.25">
      <c r="A135" s="19" t="s">
        <v>58</v>
      </c>
      <c r="B135" s="26" t="s">
        <v>24</v>
      </c>
      <c r="C135" s="23" t="s">
        <v>16</v>
      </c>
      <c r="D135" s="23" t="s">
        <v>156</v>
      </c>
      <c r="E135" s="27" t="s">
        <v>43</v>
      </c>
      <c r="F135" s="17">
        <v>36</v>
      </c>
      <c r="G135" s="28" t="s">
        <v>12</v>
      </c>
    </row>
    <row r="136" spans="1:7" x14ac:dyDescent="0.25">
      <c r="A136" s="19" t="s">
        <v>47</v>
      </c>
      <c r="B136" s="26" t="s">
        <v>24</v>
      </c>
      <c r="C136" s="23" t="s">
        <v>25</v>
      </c>
      <c r="D136" s="23" t="s">
        <v>157</v>
      </c>
      <c r="E136" s="27" t="s">
        <v>43</v>
      </c>
      <c r="F136" s="17">
        <v>8</v>
      </c>
      <c r="G136" s="28" t="s">
        <v>12</v>
      </c>
    </row>
    <row r="137" spans="1:7" x14ac:dyDescent="0.25">
      <c r="A137" s="19" t="s">
        <v>57</v>
      </c>
      <c r="B137" s="26" t="s">
        <v>24</v>
      </c>
      <c r="C137" s="23" t="s">
        <v>18</v>
      </c>
      <c r="D137" s="23" t="s">
        <v>158</v>
      </c>
      <c r="E137" s="27" t="s">
        <v>43</v>
      </c>
      <c r="F137" s="17">
        <v>1.5</v>
      </c>
      <c r="G137" s="28" t="s">
        <v>81</v>
      </c>
    </row>
    <row r="138" spans="1:7" x14ac:dyDescent="0.25">
      <c r="A138" s="19" t="s">
        <v>48</v>
      </c>
      <c r="B138" s="26" t="s">
        <v>24</v>
      </c>
      <c r="C138" s="23" t="s">
        <v>25</v>
      </c>
      <c r="D138" s="23" t="s">
        <v>159</v>
      </c>
      <c r="E138" s="27" t="s">
        <v>43</v>
      </c>
      <c r="F138" s="17">
        <v>16</v>
      </c>
      <c r="G138" s="28" t="s">
        <v>12</v>
      </c>
    </row>
    <row r="139" spans="1:7" x14ac:dyDescent="0.25">
      <c r="A139" s="19" t="s">
        <v>160</v>
      </c>
      <c r="B139" s="26" t="s">
        <v>24</v>
      </c>
      <c r="C139" s="23" t="s">
        <v>16</v>
      </c>
      <c r="D139" s="23" t="s">
        <v>116</v>
      </c>
      <c r="E139" s="27" t="s">
        <v>43</v>
      </c>
      <c r="F139" s="17">
        <v>12</v>
      </c>
      <c r="G139" s="28" t="s">
        <v>12</v>
      </c>
    </row>
    <row r="140" spans="1:7" x14ac:dyDescent="0.25">
      <c r="A140" s="19" t="s">
        <v>56</v>
      </c>
      <c r="B140" s="26" t="s">
        <v>23</v>
      </c>
      <c r="C140" s="23" t="s">
        <v>25</v>
      </c>
      <c r="D140" s="23" t="s">
        <v>161</v>
      </c>
      <c r="E140" s="27" t="s">
        <v>43</v>
      </c>
      <c r="F140" s="17">
        <v>24</v>
      </c>
      <c r="G140" s="28" t="s">
        <v>12</v>
      </c>
    </row>
    <row r="141" spans="1:7" x14ac:dyDescent="0.25">
      <c r="A141" s="19" t="s">
        <v>51</v>
      </c>
      <c r="B141" s="26" t="s">
        <v>24</v>
      </c>
      <c r="C141" s="23" t="s">
        <v>25</v>
      </c>
      <c r="D141" s="23" t="s">
        <v>139</v>
      </c>
      <c r="E141" s="27" t="s">
        <v>43</v>
      </c>
      <c r="F141" s="17">
        <v>8</v>
      </c>
      <c r="G141" s="28" t="s">
        <v>12</v>
      </c>
    </row>
    <row r="142" spans="1:7" x14ac:dyDescent="0.25">
      <c r="A142" s="19" t="s">
        <v>62</v>
      </c>
      <c r="B142" s="26" t="s">
        <v>24</v>
      </c>
      <c r="C142" s="23" t="s">
        <v>18</v>
      </c>
      <c r="D142" s="23" t="s">
        <v>162</v>
      </c>
      <c r="E142" s="27" t="s">
        <v>43</v>
      </c>
      <c r="F142" s="17">
        <v>2</v>
      </c>
      <c r="G142" s="28" t="s">
        <v>212</v>
      </c>
    </row>
    <row r="143" spans="1:7" x14ac:dyDescent="0.25">
      <c r="A143" s="19" t="s">
        <v>52</v>
      </c>
      <c r="B143" s="26" t="s">
        <v>53</v>
      </c>
      <c r="C143" s="23" t="s">
        <v>25</v>
      </c>
      <c r="D143" s="23" t="s">
        <v>139</v>
      </c>
      <c r="E143" s="27" t="s">
        <v>43</v>
      </c>
      <c r="F143" s="17">
        <v>8</v>
      </c>
      <c r="G143" s="28" t="s">
        <v>12</v>
      </c>
    </row>
    <row r="144" spans="1:7" x14ac:dyDescent="0.25">
      <c r="A144" s="19" t="s">
        <v>42</v>
      </c>
      <c r="B144" s="26" t="s">
        <v>24</v>
      </c>
      <c r="C144" s="23" t="s">
        <v>16</v>
      </c>
      <c r="D144" s="23" t="s">
        <v>163</v>
      </c>
      <c r="E144" s="27" t="s">
        <v>43</v>
      </c>
      <c r="F144" s="17">
        <v>20</v>
      </c>
      <c r="G144" s="28" t="s">
        <v>12</v>
      </c>
    </row>
    <row r="145" spans="1:7" x14ac:dyDescent="0.25">
      <c r="A145" s="19" t="s">
        <v>164</v>
      </c>
      <c r="B145" s="26" t="s">
        <v>23</v>
      </c>
      <c r="C145" s="23" t="s">
        <v>16</v>
      </c>
      <c r="D145" s="23" t="s">
        <v>165</v>
      </c>
      <c r="E145" s="27" t="s">
        <v>43</v>
      </c>
      <c r="F145" s="17">
        <v>4</v>
      </c>
      <c r="G145" s="28" t="s">
        <v>12</v>
      </c>
    </row>
    <row r="146" spans="1:7" x14ac:dyDescent="0.25">
      <c r="A146" s="19" t="s">
        <v>49</v>
      </c>
      <c r="B146" s="26" t="s">
        <v>24</v>
      </c>
      <c r="C146" s="23" t="s">
        <v>25</v>
      </c>
      <c r="D146" s="23" t="s">
        <v>166</v>
      </c>
      <c r="E146" s="27" t="s">
        <v>43</v>
      </c>
      <c r="F146" s="17">
        <v>12</v>
      </c>
      <c r="G146" s="28" t="s">
        <v>12</v>
      </c>
    </row>
    <row r="147" spans="1:7" ht="31.5" x14ac:dyDescent="0.25">
      <c r="A147" s="19" t="s">
        <v>44</v>
      </c>
      <c r="B147" s="26" t="s">
        <v>23</v>
      </c>
      <c r="C147" s="23" t="s">
        <v>25</v>
      </c>
      <c r="D147" s="23" t="s">
        <v>167</v>
      </c>
      <c r="E147" s="27" t="s">
        <v>43</v>
      </c>
      <c r="F147" s="17">
        <v>0.5</v>
      </c>
      <c r="G147" s="28" t="s">
        <v>81</v>
      </c>
    </row>
    <row r="148" spans="1:7" x14ac:dyDescent="0.25">
      <c r="A148" s="19" t="s">
        <v>44</v>
      </c>
      <c r="B148" s="26" t="s">
        <v>23</v>
      </c>
      <c r="C148" s="23" t="s">
        <v>25</v>
      </c>
      <c r="D148" s="23" t="s">
        <v>168</v>
      </c>
      <c r="E148" s="27" t="s">
        <v>43</v>
      </c>
      <c r="F148" s="17">
        <v>0.33</v>
      </c>
      <c r="G148" s="28" t="s">
        <v>81</v>
      </c>
    </row>
    <row r="149" spans="1:7" x14ac:dyDescent="0.25">
      <c r="A149" s="19" t="s">
        <v>169</v>
      </c>
      <c r="B149" s="26" t="s">
        <v>23</v>
      </c>
      <c r="C149" s="23" t="s">
        <v>16</v>
      </c>
      <c r="D149" s="23" t="s">
        <v>170</v>
      </c>
      <c r="E149" s="27" t="s">
        <v>43</v>
      </c>
      <c r="F149" s="17">
        <v>4</v>
      </c>
      <c r="G149" s="28" t="s">
        <v>12</v>
      </c>
    </row>
    <row r="150" spans="1:7" x14ac:dyDescent="0.25">
      <c r="A150" s="19" t="s">
        <v>54</v>
      </c>
      <c r="B150" s="26" t="s">
        <v>23</v>
      </c>
      <c r="C150" s="23" t="s">
        <v>25</v>
      </c>
      <c r="D150" s="23" t="s">
        <v>139</v>
      </c>
      <c r="E150" s="27" t="s">
        <v>43</v>
      </c>
      <c r="F150" s="17">
        <v>8</v>
      </c>
      <c r="G150" s="28" t="s">
        <v>12</v>
      </c>
    </row>
    <row r="151" spans="1:7" ht="31.5" x14ac:dyDescent="0.25">
      <c r="A151" s="19" t="s">
        <v>171</v>
      </c>
      <c r="B151" s="26" t="s">
        <v>24</v>
      </c>
      <c r="C151" s="23" t="s">
        <v>16</v>
      </c>
      <c r="D151" s="23" t="s">
        <v>170</v>
      </c>
      <c r="E151" s="27" t="s">
        <v>43</v>
      </c>
      <c r="F151" s="17">
        <v>4</v>
      </c>
      <c r="G151" s="28" t="s">
        <v>12</v>
      </c>
    </row>
    <row r="152" spans="1:7" x14ac:dyDescent="0.25">
      <c r="A152" s="19" t="s">
        <v>172</v>
      </c>
      <c r="B152" s="26" t="s">
        <v>24</v>
      </c>
      <c r="C152" s="23" t="s">
        <v>16</v>
      </c>
      <c r="D152" s="23" t="s">
        <v>173</v>
      </c>
      <c r="E152" s="27" t="s">
        <v>43</v>
      </c>
      <c r="F152" s="17">
        <v>4</v>
      </c>
      <c r="G152" s="28" t="s">
        <v>12</v>
      </c>
    </row>
    <row r="153" spans="1:7" x14ac:dyDescent="0.25">
      <c r="A153" s="19" t="s">
        <v>45</v>
      </c>
      <c r="B153" s="26" t="s">
        <v>24</v>
      </c>
      <c r="C153" s="23" t="s">
        <v>16</v>
      </c>
      <c r="D153" s="23" t="s">
        <v>131</v>
      </c>
      <c r="E153" s="27" t="s">
        <v>43</v>
      </c>
      <c r="F153" s="17">
        <v>8</v>
      </c>
      <c r="G153" s="28" t="s">
        <v>12</v>
      </c>
    </row>
    <row r="154" spans="1:7" x14ac:dyDescent="0.25">
      <c r="A154" s="19" t="s">
        <v>46</v>
      </c>
      <c r="B154" s="26" t="s">
        <v>24</v>
      </c>
      <c r="C154" s="23" t="s">
        <v>16</v>
      </c>
      <c r="D154" s="23" t="s">
        <v>174</v>
      </c>
      <c r="E154" s="27" t="s">
        <v>43</v>
      </c>
      <c r="F154" s="17">
        <v>20</v>
      </c>
      <c r="G154" s="28" t="s">
        <v>12</v>
      </c>
    </row>
    <row r="155" spans="1:7" x14ac:dyDescent="0.25">
      <c r="A155" s="19" t="s">
        <v>55</v>
      </c>
      <c r="B155" s="26" t="s">
        <v>23</v>
      </c>
      <c r="C155" s="23" t="s">
        <v>16</v>
      </c>
      <c r="D155" s="23" t="s">
        <v>175</v>
      </c>
      <c r="E155" s="27" t="s">
        <v>43</v>
      </c>
      <c r="F155" s="17">
        <v>8</v>
      </c>
      <c r="G155" s="28" t="s">
        <v>12</v>
      </c>
    </row>
    <row r="156" spans="1:7" ht="47.25" x14ac:dyDescent="0.25">
      <c r="A156" s="19" t="s">
        <v>176</v>
      </c>
      <c r="B156" s="26" t="s">
        <v>24</v>
      </c>
      <c r="C156" s="23" t="s">
        <v>16</v>
      </c>
      <c r="D156" s="23" t="s">
        <v>177</v>
      </c>
      <c r="E156" s="27" t="s">
        <v>43</v>
      </c>
      <c r="F156" s="17">
        <v>1</v>
      </c>
      <c r="G156" s="28" t="s">
        <v>213</v>
      </c>
    </row>
    <row r="157" spans="1:7" x14ac:dyDescent="0.25">
      <c r="A157" s="19" t="s">
        <v>178</v>
      </c>
      <c r="B157" s="26" t="s">
        <v>24</v>
      </c>
      <c r="C157" s="23" t="s">
        <v>16</v>
      </c>
      <c r="D157" s="23" t="s">
        <v>179</v>
      </c>
      <c r="E157" s="27" t="s">
        <v>43</v>
      </c>
      <c r="F157" s="17">
        <v>1</v>
      </c>
      <c r="G157" s="28" t="s">
        <v>12</v>
      </c>
    </row>
    <row r="158" spans="1:7" x14ac:dyDescent="0.25">
      <c r="A158" s="19" t="s">
        <v>180</v>
      </c>
      <c r="B158" s="26" t="s">
        <v>24</v>
      </c>
      <c r="C158" s="23" t="s">
        <v>25</v>
      </c>
      <c r="D158" s="23" t="s">
        <v>181</v>
      </c>
      <c r="E158" s="27" t="s">
        <v>43</v>
      </c>
      <c r="F158" s="17">
        <v>0.44</v>
      </c>
      <c r="G158" s="28" t="s">
        <v>81</v>
      </c>
    </row>
    <row r="159" spans="1:7" ht="31.5" x14ac:dyDescent="0.25">
      <c r="A159" s="19" t="s">
        <v>182</v>
      </c>
      <c r="B159" s="26" t="s">
        <v>24</v>
      </c>
      <c r="C159" s="23" t="s">
        <v>25</v>
      </c>
      <c r="D159" s="23" t="s">
        <v>183</v>
      </c>
      <c r="E159" s="27" t="s">
        <v>43</v>
      </c>
      <c r="F159" s="17">
        <v>1</v>
      </c>
      <c r="G159" s="28" t="s">
        <v>12</v>
      </c>
    </row>
    <row r="160" spans="1:7" x14ac:dyDescent="0.25">
      <c r="A160" s="19" t="s">
        <v>182</v>
      </c>
      <c r="B160" s="26" t="s">
        <v>24</v>
      </c>
      <c r="C160" s="23" t="s">
        <v>25</v>
      </c>
      <c r="D160" s="23" t="s">
        <v>184</v>
      </c>
      <c r="E160" s="27" t="s">
        <v>43</v>
      </c>
      <c r="F160" s="17">
        <v>1</v>
      </c>
      <c r="G160" s="28" t="s">
        <v>12</v>
      </c>
    </row>
    <row r="161" spans="1:7" ht="31.5" x14ac:dyDescent="0.25">
      <c r="A161" s="19" t="s">
        <v>185</v>
      </c>
      <c r="B161" s="26" t="s">
        <v>24</v>
      </c>
      <c r="C161" s="23" t="s">
        <v>25</v>
      </c>
      <c r="D161" s="23" t="s">
        <v>183</v>
      </c>
      <c r="E161" s="27" t="s">
        <v>43</v>
      </c>
      <c r="F161" s="17">
        <v>1</v>
      </c>
      <c r="G161" s="28" t="s">
        <v>12</v>
      </c>
    </row>
    <row r="162" spans="1:7" ht="31.5" x14ac:dyDescent="0.25">
      <c r="A162" s="19" t="s">
        <v>63</v>
      </c>
      <c r="B162" s="26" t="s">
        <v>24</v>
      </c>
      <c r="C162" s="23" t="s">
        <v>16</v>
      </c>
      <c r="D162" s="23" t="s">
        <v>186</v>
      </c>
      <c r="E162" s="27" t="s">
        <v>43</v>
      </c>
      <c r="F162" s="17">
        <v>0.13</v>
      </c>
      <c r="G162" s="28" t="s">
        <v>81</v>
      </c>
    </row>
    <row r="163" spans="1:7" ht="31.5" x14ac:dyDescent="0.25">
      <c r="A163" s="19" t="s">
        <v>187</v>
      </c>
      <c r="B163" s="26" t="s">
        <v>188</v>
      </c>
      <c r="C163" s="23" t="s">
        <v>189</v>
      </c>
      <c r="D163" s="23" t="s">
        <v>190</v>
      </c>
      <c r="E163" s="27" t="s">
        <v>43</v>
      </c>
      <c r="F163" s="17">
        <v>1</v>
      </c>
      <c r="G163" s="28" t="s">
        <v>12</v>
      </c>
    </row>
    <row r="164" spans="1:7" ht="31.5" x14ac:dyDescent="0.25">
      <c r="A164" s="19" t="s">
        <v>187</v>
      </c>
      <c r="B164" s="26" t="s">
        <v>191</v>
      </c>
      <c r="C164" s="23" t="s">
        <v>189</v>
      </c>
      <c r="D164" s="23" t="s">
        <v>190</v>
      </c>
      <c r="E164" s="27" t="s">
        <v>43</v>
      </c>
      <c r="F164" s="17">
        <v>1</v>
      </c>
      <c r="G164" s="28" t="s">
        <v>12</v>
      </c>
    </row>
    <row r="165" spans="1:7" ht="31.5" x14ac:dyDescent="0.25">
      <c r="A165" s="19" t="s">
        <v>187</v>
      </c>
      <c r="B165" s="26" t="s">
        <v>191</v>
      </c>
      <c r="C165" s="23" t="s">
        <v>189</v>
      </c>
      <c r="D165" s="23" t="s">
        <v>192</v>
      </c>
      <c r="E165" s="27" t="s">
        <v>43</v>
      </c>
      <c r="F165" s="17">
        <v>1</v>
      </c>
      <c r="G165" s="28" t="s">
        <v>12</v>
      </c>
    </row>
    <row r="166" spans="1:7" ht="31.5" x14ac:dyDescent="0.25">
      <c r="A166" s="19" t="s">
        <v>187</v>
      </c>
      <c r="B166" s="20" t="s">
        <v>188</v>
      </c>
      <c r="C166" s="21" t="s">
        <v>193</v>
      </c>
      <c r="D166" s="29" t="s">
        <v>194</v>
      </c>
      <c r="E166" s="27" t="s">
        <v>43</v>
      </c>
      <c r="F166" s="17">
        <v>1</v>
      </c>
      <c r="G166" s="28" t="s">
        <v>12</v>
      </c>
    </row>
    <row r="167" spans="1:7" ht="31.5" x14ac:dyDescent="0.25">
      <c r="A167" s="19" t="s">
        <v>195</v>
      </c>
      <c r="B167" s="20" t="s">
        <v>65</v>
      </c>
      <c r="C167" s="21" t="s">
        <v>66</v>
      </c>
      <c r="D167" s="29" t="s">
        <v>196</v>
      </c>
      <c r="E167" s="27" t="s">
        <v>43</v>
      </c>
      <c r="F167" s="17">
        <v>1</v>
      </c>
      <c r="G167" s="28" t="s">
        <v>12</v>
      </c>
    </row>
    <row r="168" spans="1:7" ht="31.5" x14ac:dyDescent="0.25">
      <c r="A168" s="19" t="s">
        <v>132</v>
      </c>
      <c r="B168" s="20" t="s">
        <v>24</v>
      </c>
      <c r="C168" s="21" t="s">
        <v>197</v>
      </c>
      <c r="D168" s="29" t="s">
        <v>198</v>
      </c>
      <c r="E168" s="27" t="s">
        <v>43</v>
      </c>
      <c r="F168" s="17">
        <v>2</v>
      </c>
      <c r="G168" s="28" t="s">
        <v>12</v>
      </c>
    </row>
    <row r="169" spans="1:7" x14ac:dyDescent="0.25">
      <c r="A169" s="19"/>
      <c r="B169" s="20" t="s">
        <v>23</v>
      </c>
      <c r="C169" s="21" t="s">
        <v>16</v>
      </c>
      <c r="D169" s="29" t="s">
        <v>199</v>
      </c>
      <c r="E169" s="27" t="s">
        <v>43</v>
      </c>
      <c r="F169" s="17">
        <v>3</v>
      </c>
      <c r="G169" s="28" t="s">
        <v>12</v>
      </c>
    </row>
    <row r="170" spans="1:7" ht="31.5" x14ac:dyDescent="0.25">
      <c r="A170" s="19" t="s">
        <v>200</v>
      </c>
      <c r="B170" s="20" t="s">
        <v>24</v>
      </c>
      <c r="C170" s="21" t="s">
        <v>25</v>
      </c>
      <c r="D170" s="29" t="s">
        <v>201</v>
      </c>
      <c r="E170" s="27" t="s">
        <v>43</v>
      </c>
      <c r="F170" s="17">
        <v>1</v>
      </c>
      <c r="G170" s="28" t="s">
        <v>12</v>
      </c>
    </row>
    <row r="171" spans="1:7" ht="31.5" x14ac:dyDescent="0.25">
      <c r="A171" s="19" t="s">
        <v>200</v>
      </c>
      <c r="B171" s="20" t="s">
        <v>24</v>
      </c>
      <c r="C171" s="21" t="s">
        <v>25</v>
      </c>
      <c r="D171" s="29" t="s">
        <v>202</v>
      </c>
      <c r="E171" s="27" t="s">
        <v>43</v>
      </c>
      <c r="F171" s="17">
        <v>3</v>
      </c>
      <c r="G171" s="28" t="s">
        <v>12</v>
      </c>
    </row>
    <row r="172" spans="1:7" ht="31.5" x14ac:dyDescent="0.25">
      <c r="A172" s="19" t="s">
        <v>203</v>
      </c>
      <c r="B172" s="20" t="s">
        <v>23</v>
      </c>
      <c r="C172" s="21" t="s">
        <v>25</v>
      </c>
      <c r="D172" s="29" t="s">
        <v>167</v>
      </c>
      <c r="E172" s="27" t="s">
        <v>43</v>
      </c>
      <c r="F172" s="17">
        <v>0.5</v>
      </c>
      <c r="G172" s="28" t="s">
        <v>81</v>
      </c>
    </row>
    <row r="173" spans="1:7" x14ac:dyDescent="0.25">
      <c r="A173" s="19" t="s">
        <v>204</v>
      </c>
      <c r="B173" s="20" t="s">
        <v>24</v>
      </c>
      <c r="C173" s="21" t="s">
        <v>25</v>
      </c>
      <c r="D173" s="29" t="s">
        <v>205</v>
      </c>
      <c r="E173" s="27" t="s">
        <v>43</v>
      </c>
      <c r="F173" s="17">
        <v>1</v>
      </c>
      <c r="G173" s="28" t="s">
        <v>12</v>
      </c>
    </row>
    <row r="174" spans="1:7" x14ac:dyDescent="0.25">
      <c r="A174" s="19" t="s">
        <v>61</v>
      </c>
      <c r="B174" s="20" t="s">
        <v>24</v>
      </c>
      <c r="C174" s="21" t="s">
        <v>25</v>
      </c>
      <c r="D174" s="29" t="s">
        <v>206</v>
      </c>
      <c r="E174" s="27" t="s">
        <v>43</v>
      </c>
      <c r="F174" s="17">
        <v>1</v>
      </c>
      <c r="G174" s="28" t="s">
        <v>214</v>
      </c>
    </row>
    <row r="175" spans="1:7" x14ac:dyDescent="0.25">
      <c r="A175" s="19" t="s">
        <v>60</v>
      </c>
      <c r="B175" s="20" t="s">
        <v>23</v>
      </c>
      <c r="C175" s="21" t="s">
        <v>25</v>
      </c>
      <c r="D175" s="29" t="s">
        <v>206</v>
      </c>
      <c r="E175" s="27" t="s">
        <v>43</v>
      </c>
      <c r="F175" s="17">
        <v>1</v>
      </c>
      <c r="G175" s="28" t="s">
        <v>214</v>
      </c>
    </row>
    <row r="176" spans="1:7" x14ac:dyDescent="0.25">
      <c r="A176" s="19" t="s">
        <v>59</v>
      </c>
      <c r="B176" s="20" t="s">
        <v>23</v>
      </c>
      <c r="C176" s="21" t="s">
        <v>25</v>
      </c>
      <c r="D176" s="29" t="s">
        <v>206</v>
      </c>
      <c r="E176" s="27" t="s">
        <v>43</v>
      </c>
      <c r="F176" s="17">
        <v>1</v>
      </c>
      <c r="G176" s="28" t="s">
        <v>214</v>
      </c>
    </row>
    <row r="177" spans="1:7" x14ac:dyDescent="0.25">
      <c r="A177" s="19" t="s">
        <v>207</v>
      </c>
      <c r="B177" s="20" t="s">
        <v>24</v>
      </c>
      <c r="C177" s="21" t="s">
        <v>25</v>
      </c>
      <c r="D177" s="29" t="s">
        <v>208</v>
      </c>
      <c r="E177" s="27" t="s">
        <v>43</v>
      </c>
      <c r="F177" s="17">
        <v>1</v>
      </c>
      <c r="G177" s="28" t="s">
        <v>12</v>
      </c>
    </row>
  </sheetData>
  <autoFilter ref="A8:G177" xr:uid="{00000000-0009-0000-0000-000012000000}"/>
  <mergeCells count="13">
    <mergeCell ref="A1:D1"/>
    <mergeCell ref="E1:E2"/>
    <mergeCell ref="A2:C2"/>
    <mergeCell ref="A3:C3"/>
    <mergeCell ref="D3:E3"/>
    <mergeCell ref="A4:C4"/>
    <mergeCell ref="D4:E4"/>
    <mergeCell ref="A21:E21"/>
    <mergeCell ref="A66:E66"/>
    <mergeCell ref="A98:E98"/>
    <mergeCell ref="A9:E9"/>
    <mergeCell ref="A6:E6"/>
    <mergeCell ref="A7:C7"/>
  </mergeCells>
  <conditionalFormatting sqref="A10:A20">
    <cfRule type="duplicateValues" dxfId="0" priority="1"/>
  </conditionalFormatting>
  <dataValidations count="2">
    <dataValidation type="list" allowBlank="1" showInputMessage="1" showErrorMessage="1" sqref="G22:G31 G39 G44 G53:G62 G64:G77" xr:uid="{C141FA48-8710-44A1-B79F-5C5463DFBC9D}">
      <formula1>#REF!</formula1>
    </dataValidation>
    <dataValidation type="list" allowBlank="1" showInputMessage="1" showErrorMessage="1" sqref="G94:G95 G91" xr:uid="{0C85E738-6546-4BF8-8B3D-F5DC1F06BADA}">
      <formula1>$J$22:$J$28</formula1>
    </dataValidation>
  </dataValidations>
  <printOptions horizontalCentered="1"/>
  <pageMargins left="0.19685039370078741" right="0.19685039370078741" top="0.15748031496062992" bottom="0.19685039370078741" header="0.11811023622047245" footer="0.11811023622047245"/>
  <pageSetup paperSize="9" scale="19" orientation="portrait" r:id="rId1"/>
  <headerFooter>
    <oddFooter>&amp;LEtabli par: A.Nouari&amp;CPage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Com type</vt:lpstr>
      <vt:lpstr>'Com type'!Impression_des_titres</vt:lpstr>
      <vt:lpstr>'Com type'!Zone_d_impression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Nouari Abdelkabir</dc:creator>
  <cp:lastModifiedBy>Nouari Abdelkabir</cp:lastModifiedBy>
  <dcterms:created xsi:type="dcterms:W3CDTF">2026-09-27T21:28:14Z</dcterms:created>
  <dcterms:modified xsi:type="dcterms:W3CDTF">2026-09-29T17:24:55Z</dcterms:modified>
</cp:coreProperties>
</file>